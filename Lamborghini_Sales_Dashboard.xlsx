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nestle-my.sharepoint.com/personal/raphael_babatunde_ng_nestle_com/Documents/My Dashboards/"/>
    </mc:Choice>
  </mc:AlternateContent>
  <xr:revisionPtr revIDLastSave="2793" documentId="8_{4FB74464-E1C0-487E-911D-8887FC0B5D3F}" xr6:coauthVersionLast="47" xr6:coauthVersionMax="47" xr10:uidLastSave="{9D1BE14F-9184-4435-B61D-1C95966EF55F}"/>
  <bookViews>
    <workbookView xWindow="-120" yWindow="-120" windowWidth="29040" windowHeight="17520" activeTab="3" xr2:uid="{C68D47CE-6844-434B-9BAC-B0497C5C60FE}"/>
  </bookViews>
  <sheets>
    <sheet name="Pivot" sheetId="3" r:id="rId1"/>
    <sheet name="Work Sheet" sheetId="1" r:id="rId2"/>
    <sheet name="Assignment" sheetId="2" r:id="rId3"/>
    <sheet name="Dashboard" sheetId="6" r:id="rId4"/>
  </sheets>
  <definedNames>
    <definedName name="Slicer_Fuel_Type">#N/A</definedName>
    <definedName name="Slicer_Model">#N/A</definedName>
    <definedName name="Slicer_Price_Distribution">#N/A</definedName>
    <definedName name="Slicer_Region">#N/A</definedName>
    <definedName name="Slicer_Year">#N/A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F148" i="3" l="1"/>
  <c r="Y32" i="6" s="1"/>
  <c r="I148" i="3"/>
  <c r="Y30" i="6" s="1"/>
  <c r="C148" i="3"/>
  <c r="Y31" i="6" s="1"/>
  <c r="C10" i="3"/>
  <c r="Y26" i="6"/>
  <c r="Y27" i="6"/>
  <c r="Y19" i="6"/>
  <c r="Y15" i="6"/>
  <c r="Y13" i="6"/>
  <c r="Y12" i="6"/>
  <c r="Y14" i="6"/>
  <c r="Y16" i="6"/>
  <c r="L2" i="1" l="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K2" i="1" l="1"/>
  <c r="K3" i="1"/>
  <c r="K4" i="1"/>
  <c r="J2" i="1" a="1"/>
  <c r="J2"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<sst xmlns="http://schemas.openxmlformats.org/spreadsheetml/2006/main" count="602" uniqueCount="165">
  <si>
    <t>Model</t>
  </si>
  <si>
    <t>Year</t>
  </si>
  <si>
    <t>Region</t>
  </si>
  <si>
    <t>Color</t>
  </si>
  <si>
    <t>Fuel Type</t>
  </si>
  <si>
    <t>Base Price (USD)</t>
  </si>
  <si>
    <t>Horsepower</t>
  </si>
  <si>
    <t>Sales Volume</t>
  </si>
  <si>
    <t>Turbo (Yes/No)</t>
  </si>
  <si>
    <t>Urus</t>
  </si>
  <si>
    <t>EMEA</t>
  </si>
  <si>
    <t>Black</t>
  </si>
  <si>
    <t>Gasoline</t>
  </si>
  <si>
    <t>Yes</t>
  </si>
  <si>
    <t>Americas</t>
  </si>
  <si>
    <t>White</t>
  </si>
  <si>
    <t>APAC</t>
  </si>
  <si>
    <t>Red</t>
  </si>
  <si>
    <t>HuracÃ¡n</t>
  </si>
  <si>
    <t>Yellow</t>
  </si>
  <si>
    <t>Orange</t>
  </si>
  <si>
    <t>Aventador</t>
  </si>
  <si>
    <t>Silver</t>
  </si>
  <si>
    <t>Revuelto</t>
  </si>
  <si>
    <t>Blue</t>
  </si>
  <si>
    <t>Hybrid</t>
  </si>
  <si>
    <t>Green</t>
  </si>
  <si>
    <t>Urus SE</t>
  </si>
  <si>
    <t>HuracÃ¡n (Temerario)</t>
  </si>
  <si>
    <t>Grey</t>
  </si>
  <si>
    <t>🚗 Automotive Sales Dashboard – Assignment Questions</t>
  </si>
  <si>
    <t>Part 1: Data Exploration &amp; Preparation</t>
  </si>
  <si>
    <t>1. Data Overview</t>
  </si>
  <si>
    <t>Create summary KPI cards showing:</t>
  </si>
  <si>
    <t>Total number of vehicle records</t>
  </si>
  <si>
    <t>Total sales volume</t>
  </si>
  <si>
    <t>Average vehicle price</t>
  </si>
  <si>
    <t>Guiding Question:</t>
  </si>
  <si>
    <t>What does the overall vehicle market look like in terms of model variety, pricing, and sales activity?</t>
  </si>
  <si>
    <t>2. Data Quality Check</t>
  </si>
  <si>
    <t>Identify and document:</t>
  </si>
  <si>
    <t>Missing values</t>
  </si>
  <si>
    <t>Duplicate records</t>
  </si>
  <si>
    <t>Inconsistent model names</t>
  </si>
  <si>
    <t>Extreme values (Price, Horsepower, Sales Volume)</t>
  </si>
  <si>
    <t>Are there any data issues that could affect the reliability of the analysis?</t>
  </si>
  <si>
    <t>Part 2: Market Structure Analysis</t>
  </si>
  <si>
    <t>3. Model Distribution</t>
  </si>
  <si>
    <t>Create a visualization showing:</t>
  </si>
  <si>
    <t>Sales Volume by Model</t>
  </si>
  <si>
    <t>Which vehicle models dominate the market, and what does this suggest about consumer demand?</t>
  </si>
  <si>
    <t>4. Regional Sales Analysis</t>
  </si>
  <si>
    <t>Create a chart showing:</t>
  </si>
  <si>
    <t>Sales Volume by Region</t>
  </si>
  <si>
    <t>Which regions generate the highest vehicle sales, and how does demand vary geographically?</t>
  </si>
  <si>
    <t>5. Yearly Sales Trend</t>
  </si>
  <si>
    <t>Create a trend chart showing:</t>
  </si>
  <si>
    <t>Sales Volume by Year</t>
  </si>
  <si>
    <t>How has vehicle sales performance changed over time?</t>
  </si>
  <si>
    <t>Part 3: Pricing &amp; Revenue Analysis</t>
  </si>
  <si>
    <t>6. Price Distribution</t>
  </si>
  <si>
    <t>Create a histogram or grouped chart:</t>
  </si>
  <si>
    <t>Base Price Distribution</t>
  </si>
  <si>
    <t>Price Groups Example:</t>
  </si>
  <si>
    <t>Below $30,000</t>
  </si>
  <si>
    <t>$30,000–$50,000</t>
  </si>
  <si>
    <t>$50,000–$70,000</t>
  </si>
  <si>
    <t>Above $70,000</t>
  </si>
  <si>
    <t>How are vehicle prices distributed, and which price range dominates the market?</t>
  </si>
  <si>
    <t>7. Price by Model</t>
  </si>
  <si>
    <t>Average Price by Model</t>
  </si>
  <si>
    <t>Which models are positioned as premium vehicles, and which are more affordable?</t>
  </si>
  <si>
    <t>8. Revenue Analysis</t>
  </si>
  <si>
    <t>Create a new column:</t>
  </si>
  <si>
    <t>Revenue = Base Price × Sales Volume</t>
  </si>
  <si>
    <t>Create charts:</t>
  </si>
  <si>
    <t>Revenue by Model</t>
  </si>
  <si>
    <t>Revenue by Region</t>
  </si>
  <si>
    <t>Which models and regions generate the highest revenue?</t>
  </si>
  <si>
    <t>Part 4: Performance Analysis</t>
  </si>
  <si>
    <t>9. Horsepower Distribution</t>
  </si>
  <si>
    <t>Create a distribution chart:</t>
  </si>
  <si>
    <t>Horsepower Groups:</t>
  </si>
  <si>
    <t>Below 200 HP</t>
  </si>
  <si>
    <t>200–300 HP</t>
  </si>
  <si>
    <t>301–400 HP</t>
  </si>
  <si>
    <t>Above 400 HP</t>
  </si>
  <si>
    <t>What performance levels dominate the vehicle market?</t>
  </si>
  <si>
    <t>10. Horsepower vs Sales Relationship</t>
  </si>
  <si>
    <t>Create a scatter plot:</t>
  </si>
  <si>
    <t>Horsepower vs Sales Volume</t>
  </si>
  <si>
    <t>Do higher-performance vehicles generate higher sales volumes?</t>
  </si>
  <si>
    <t>11. Performance vs Price</t>
  </si>
  <si>
    <t>Average Price by Horsepower Category</t>
  </si>
  <si>
    <t>Does higher horsepower lead to higher vehicle prices?</t>
  </si>
  <si>
    <t>Part 5: Fuel &amp; Technology Analysis</t>
  </si>
  <si>
    <t>12. Fuel Type Analysis</t>
  </si>
  <si>
    <t>Sales Volume by Fuel Type</t>
  </si>
  <si>
    <t>Which fuel types dominate the market, and what does this suggest about customer preferences?</t>
  </si>
  <si>
    <t>13. Fuel Type Pricing Comparison</t>
  </si>
  <si>
    <t>Average Price by Fuel Type</t>
  </si>
  <si>
    <t>Which fuel types are the most expensive and which are the most affordable?</t>
  </si>
  <si>
    <t>Part 6: Market Insights</t>
  </si>
  <si>
    <t>Create a table showing:</t>
  </si>
  <si>
    <t>Top Model in Each Region</t>
  </si>
  <si>
    <t>Which vehicle models dominate different regions?</t>
  </si>
  <si>
    <t>Sales Volume by Color</t>
  </si>
  <si>
    <t>Which vehicle colors are most preferred by customers?</t>
  </si>
  <si>
    <t>Filter:</t>
  </si>
  <si>
    <t>Horsepower &gt; 300</t>
  </si>
  <si>
    <t>Turbo = Yes</t>
  </si>
  <si>
    <t>Analyze:</t>
  </si>
  <si>
    <t>Average Price</t>
  </si>
  <si>
    <t>How significant is the high-performance segment in the market?</t>
  </si>
  <si>
    <t>Part 7: Dashboard Design</t>
  </si>
  <si>
    <r>
      <t xml:space="preserve">Design a </t>
    </r>
    <r>
      <rPr>
        <b/>
        <sz val="11"/>
        <color theme="1"/>
        <rFont val="Aptos Narrow"/>
        <family val="2"/>
        <scheme val="minor"/>
      </rPr>
      <t>single-page dashboard</t>
    </r>
    <r>
      <rPr>
        <sz val="11"/>
        <color theme="1"/>
        <rFont val="Aptos Narrow"/>
        <family val="2"/>
        <scheme val="minor"/>
      </rPr>
      <t xml:space="preserve"> showing:</t>
    </r>
  </si>
  <si>
    <t>Total Sales Volume</t>
  </si>
  <si>
    <t>Total Revenue</t>
  </si>
  <si>
    <t>Average Horsepower</t>
  </si>
  <si>
    <t>Sales by Model</t>
  </si>
  <si>
    <t>Sales by Region</t>
  </si>
  <si>
    <t>Sales by Fuel Type</t>
  </si>
  <si>
    <t>Create KPI metrics such as:</t>
  </si>
  <si>
    <t>Best Selling Model</t>
  </si>
  <si>
    <t>Most Popular Fuel Type</t>
  </si>
  <si>
    <t>Highest Revenue Region</t>
  </si>
  <si>
    <t>Bonus Challenge ⭐</t>
  </si>
  <si>
    <t>Price Range</t>
  </si>
  <si>
    <t>Turbo Status</t>
  </si>
  <si>
    <t>What combination of features defines the most commercially successful vehicle?</t>
  </si>
  <si>
    <t>Submission Requirements</t>
  </si>
  <si>
    <t>✅ Interactive Excel Dashboard</t>
  </si>
  <si>
    <t>✅ PivotTables</t>
  </si>
  <si>
    <t>✅ Charts</t>
  </si>
  <si>
    <t>✅ KPI Cards</t>
  </si>
  <si>
    <t>✅ Clean Layout</t>
  </si>
  <si>
    <t>✅ 2–3 Sentences Insight per Question</t>
  </si>
  <si>
    <t>Count of Model</t>
  </si>
  <si>
    <t>Sum of Base Price (USD)</t>
  </si>
  <si>
    <t>Average of Base Price (USD)</t>
  </si>
  <si>
    <t>Sum of Sales Volume</t>
  </si>
  <si>
    <t>Row Labels</t>
  </si>
  <si>
    <t>Grand Total</t>
  </si>
  <si>
    <t>Column Labels</t>
  </si>
  <si>
    <t>Price Distribution</t>
  </si>
  <si>
    <t>High Price</t>
  </si>
  <si>
    <t>Low Price</t>
  </si>
  <si>
    <t>Medium Price</t>
  </si>
  <si>
    <t>Revenue</t>
  </si>
  <si>
    <t>Sum of Revenue</t>
  </si>
  <si>
    <t>HP Range</t>
  </si>
  <si>
    <t>High HP</t>
  </si>
  <si>
    <t>Low HP</t>
  </si>
  <si>
    <t>Medium HP</t>
  </si>
  <si>
    <t>Sum of Horsepower</t>
  </si>
  <si>
    <t>14. Best Selling Model per Region</t>
  </si>
  <si>
    <t>15. Most Popular Color</t>
  </si>
  <si>
    <t>16. High Performance Market Segment</t>
  </si>
  <si>
    <t>17. Executive Dashboard</t>
  </si>
  <si>
    <t>18. KPI Tracking</t>
  </si>
  <si>
    <t>19. Ideal Market Vehicle</t>
  </si>
  <si>
    <t>Average of Horsepower</t>
  </si>
  <si>
    <t>(All)</t>
  </si>
  <si>
    <t>Regional Sales Analysis</t>
  </si>
  <si>
    <t>HuracÃ¡n (Tem...)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</si>
</sst>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
    <numFmt numFmtId="165" formatCode="&quot;$&quot;#,##0,,,&quot; Billion&quot;"/>
    <numFmt numFmtId="166" formatCode="_(* #,##0_);_(* \(#,##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
      <sz val="11"/>
      <color theme="1"/>
      <name val="Georgia Pro Semibold"/>
      <family val="1"/>
    </font>
    <font>
      <sz val="8"/>
      <color rgb="FF3F4474"/>
      <name val="Antenna Purina Medium"/>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9">
    <xf numFmtId="0" fontId="0" fillId="0" borderId="0" xfId="0"/>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0" fillId="0" borderId="0" xfId="0" applyAlignment="1">
      <alignment horizontal="left" vertical="center" indent="1"/>
    </xf>
    <xf numFmtId="0" fontId="16"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vertical="top"/>
    </xf>
    <xf numFmtId="0" fontId="0" fillId="0" borderId="0" xfId="0" applyAlignment="1">
      <alignment horizontal="left" vertical="center"/>
    </xf>
    <xf numFmtId="0" fontId="21" fillId="0" borderId="0" xfId="0" applyFont="1"/>
    <xf numFmtId="165" fontId="0" fillId="0" borderId="0" xfId="0" applyNumberFormat="1"/>
    <xf numFmtId="0" fontId="22" fillId="0" borderId="0" xfId="0" applyFont="1"/>
    <xf numFmtId="43" fontId="0" fillId="0" borderId="0" xfId="42" applyFont="1"/>
    <xf numFmtId="166" fontId="0" fillId="0" borderId="0" xfId="42" applyNumberFormat="1" applyFont="1"/>
    <xf numFmtId="0" fontId="0" fillId="0" borderId="0" xfId="0"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64" formatCode="&quot;$&quot;#,##0"/>
    </dxf>
    <dxf>
      <numFmt numFmtId="0" formatCode="General"/>
    </dxf>
    <dxf>
      <numFmt numFmtId="164" formatCode="&quot;$&quot;#,##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[Lamborghini_Sales_Dashboard.xlsx]Pivot!Model Distribution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pivotFmt>
      <c:pivotFmt>
        <c:idx val="2"/>
        <c:spPr>
          <a:solidFill>
            <a:schemeClr val="accent6">
              <a:lumMod val="75000"/>
            </a:schemeClr>
          </a:solidFill>
          <a:ln>
            <a:noFill/>
          </a:ln>
          <a:effectLst/>
        </c:spPr>
      </c:pivotFmt>
      <c:pivotFmt>
        <c:idx val="3"/>
        <c:spPr>
          <a:solidFill>
            <a:srgbClr val="FFC000"/>
          </a:solidFill>
          <a:ln>
            <a:noFill/>
          </a:ln>
          <a:effectLst/>
        </c:spPr>
      </c:pivotFmt>
      <c:pivotFmt>
        <c:idx val="4"/>
        <c:spPr>
          <a:solidFill>
            <a:schemeClr val="tx1">
              <a:lumMod val="95000"/>
              <a:lumOff val="5000"/>
            </a:schemeClr>
          </a:solidFill>
          <a:ln>
            <a:noFill/>
          </a:ln>
          <a:effectLst/>
        </c:spPr>
      </c:pivotFmt>
      <c:pivotFmt>
        <c:idx val="5"/>
        <c:spPr>
          <a:solidFill>
            <a:schemeClr val="tx2">
              <a:lumMod val="50000"/>
              <a:lumOff val="50000"/>
            </a:schemeClr>
          </a:solidFill>
          <a:ln>
            <a:noFill/>
          </a:ln>
          <a:effectLst/>
        </c:spPr>
      </c:pivotFmt>
      <c:pivotFmt>
        <c:idx val="6"/>
        <c:spPr>
          <a:solidFill>
            <a:schemeClr val="accent6">
              <a:lumMod val="20000"/>
              <a:lumOff val="80000"/>
            </a:schemeClr>
          </a:solidFill>
          <a:ln>
            <a:noFill/>
          </a:ln>
          <a:effectLst/>
        </c:spPr>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6B79-4C17-9909-928FBF7E060F}"/>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6-6B79-4C17-9909-928FBF7E060F}"/>
              </c:ext>
            </c:extLst>
          </c:dPt>
          <c:dPt>
            <c:idx val="2"/>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5-6B79-4C17-9909-928FBF7E060F}"/>
              </c:ext>
            </c:extLst>
          </c:dPt>
          <c:dPt>
            <c:idx val="3"/>
            <c:invertIfNegative val="0"/>
            <c:bubble3D val="0"/>
            <c:spPr>
              <a:solidFill>
                <a:srgbClr val="FFC000"/>
              </a:solidFill>
              <a:ln>
                <a:noFill/>
              </a:ln>
              <a:effectLst/>
            </c:spPr>
            <c:extLst>
              <c:ext xmlns:c16="http://schemas.microsoft.com/office/drawing/2014/chart" uri="{C3380CC4-5D6E-409C-BE32-E72D297353CC}">
                <c16:uniqueId val="{00000004-6B79-4C17-9909-928FBF7E060F}"/>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3-6B79-4C17-9909-928FBF7E060F}"/>
              </c:ext>
            </c:extLst>
          </c:dPt>
          <c:dPt>
            <c:idx val="5"/>
            <c:invertIfNegative val="0"/>
            <c:bubble3D val="0"/>
            <c:spPr>
              <a:solidFill>
                <a:schemeClr val="bg1">
                  <a:lumMod val="65000"/>
                </a:schemeClr>
              </a:solidFill>
              <a:ln>
                <a:noFill/>
              </a:ln>
              <a:effectLst/>
            </c:spPr>
            <c:extLst>
              <c:ext xmlns:c16="http://schemas.microsoft.com/office/drawing/2014/chart" uri="{C3380CC4-5D6E-409C-BE32-E72D297353CC}">
                <c16:uniqueId val="{00000002-6B79-4C17-9909-928FBF7E060F}"/>
              </c:ext>
            </c:extLst>
          </c:dPt>
          <c:cat>
            <c:strRef>
              <c:f>Pivot!$A$10:$A$16</c:f>
              <c:strCache>
                <c:ptCount val="6"/>
                <c:pt idx="0">
                  <c:v>Aventador</c:v>
                </c:pt>
                <c:pt idx="1">
                  <c:v>HuracÃ¡n</c:v>
                </c:pt>
                <c:pt idx="2">
                  <c:v>HuracÃ¡n (Temerario)</c:v>
                </c:pt>
                <c:pt idx="3">
                  <c:v>Revuelto</c:v>
                </c:pt>
                <c:pt idx="4">
                  <c:v>Urus</c:v>
                </c:pt>
                <c:pt idx="5">
                  <c:v>Urus SE</c:v>
                </c:pt>
              </c:strCache>
            </c:strRef>
          </c:cat>
          <c:val>
            <c:numRef>
              <c:f>Pivot!$B$10:$B$16</c:f>
              <c:numCache>
                <c:formatCode>General</c:formatCode>
                <c:ptCount val="6"/>
                <c:pt idx="0">
                  <c:v>5970</c:v>
                </c:pt>
                <c:pt idx="1">
                  <c:v>41481</c:v>
                </c:pt>
                <c:pt idx="2">
                  <c:v>3850</c:v>
                </c:pt>
                <c:pt idx="3">
                  <c:v>8956</c:v>
                </c:pt>
                <c:pt idx="4">
                  <c:v>54305</c:v>
                </c:pt>
                <c:pt idx="5">
                  <c:v>26812</c:v>
                </c:pt>
              </c:numCache>
            </c:numRef>
          </c:val>
          <c:extLst>
            <c:ext xmlns:c16="http://schemas.microsoft.com/office/drawing/2014/chart" uri="{C3380CC4-5D6E-409C-BE32-E72D297353CC}">
              <c16:uniqueId val="{00000000-6B79-4C17-9909-928FBF7E060F}"/>
            </c:ext>
          </c:extLst>
        </c:ser>
        <c:dLbls>
          <c:showLegendKey val="0"/>
          <c:showVal val="0"/>
          <c:showCatName val="0"/>
          <c:showSerName val="0"/>
          <c:showPercent val="0"/>
          <c:showBubbleSize val="0"/>
        </c:dLbls>
        <c:gapWidth val="219"/>
        <c:overlap val="-27"/>
        <c:axId val="1981389775"/>
        <c:axId val="1981392655"/>
      </c:barChart>
      <c:catAx>
        <c:axId val="198138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392655"/>
        <c:crosses val="autoZero"/>
        <c:auto val="1"/>
        <c:lblAlgn val="ctr"/>
        <c:lblOffset val="100"/>
        <c:noMultiLvlLbl val="0"/>
      </c:catAx>
      <c:valAx>
        <c:axId val="198139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38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[Lamborghini_Sales_Dashboard.xlsx]Pivot!Regional Sales Analysis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Pivot!$G$9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75-4130-BB7E-3346168CD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75-4130-BB7E-3346168CD9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75-4130-BB7E-3346168CD981}"/>
              </c:ext>
            </c:extLst>
          </c:dPt>
          <c:cat>
            <c:strRef>
              <c:f>Pivot!$F$10:$F$13</c:f>
              <c:strCache>
                <c:ptCount val="3"/>
                <c:pt idx="0">
                  <c:v>Americas</c:v>
                </c:pt>
                <c:pt idx="1">
                  <c:v>APAC</c:v>
                </c:pt>
                <c:pt idx="2">
                  <c:v>EMEA</c:v>
                </c:pt>
              </c:strCache>
            </c:strRef>
          </c:cat>
          <c:val>
            <c:numRef>
              <c:f>Pivot!$G$10:$G$13</c:f>
              <c:numCache>
                <c:formatCode>General</c:formatCode>
                <c:ptCount val="3"/>
                <c:pt idx="0">
                  <c:v>55663</c:v>
                </c:pt>
                <c:pt idx="1">
                  <c:v>32043</c:v>
                </c:pt>
                <c:pt idx="2">
                  <c:v>53668</c:v>
                </c:pt>
              </c:numCache>
            </c:numRef>
          </c:val>
          <c:extLst>
            <c:ext xmlns:c16="http://schemas.microsoft.com/office/drawing/2014/chart" uri="{C3380CC4-5D6E-409C-BE32-E72D297353CC}">
              <c16:uniqueId val="{00000000-A83D-4762-A5DC-B3FBE6724D3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[Lamborghini_Sales_Dashboard.xlsx]Pivot!Yearly Sales Trend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pivotFmt>
      <c:pivotFmt>
        <c:idx val="2"/>
        <c:spPr>
          <a:solidFill>
            <a:schemeClr val="bg2">
              <a:lumMod val="90000"/>
            </a:schemeClr>
          </a:solidFill>
          <a:ln>
            <a:noFill/>
          </a:ln>
          <a:effectLst/>
        </c:spPr>
      </c:pivotFmt>
      <c:pivotFmt>
        <c:idx val="3"/>
        <c:spPr>
          <a:solidFill>
            <a:srgbClr val="FFC000"/>
          </a:solidFill>
          <a:ln>
            <a:noFill/>
          </a:ln>
          <a:effectLst/>
        </c:spPr>
      </c:pivotFmt>
      <c:pivotFmt>
        <c:idx val="4"/>
        <c:spPr>
          <a:solidFill>
            <a:schemeClr val="accent2">
              <a:lumMod val="75000"/>
            </a:schemeClr>
          </a:solidFill>
          <a:ln>
            <a:noFill/>
          </a:ln>
          <a:effectLst/>
        </c:spPr>
      </c:pivotFmt>
      <c:pivotFmt>
        <c:idx val="5"/>
        <c:spPr>
          <a:solidFill>
            <a:schemeClr val="accent6">
              <a:lumMod val="75000"/>
            </a:schemeClr>
          </a:solidFill>
          <a:ln>
            <a:noFill/>
          </a:ln>
          <a:effectLst/>
        </c:spPr>
      </c:pivotFmt>
    </c:pivotFmts>
    <c:plotArea>
      <c:layout/>
      <c:barChart>
        <c:barDir val="bar"/>
        <c:grouping val="clustered"/>
        <c:varyColors val="0"/>
        <c:ser>
          <c:idx val="0"/>
          <c:order val="0"/>
          <c:tx>
            <c:strRef>
              <c:f>Pivot!$K$9</c:f>
              <c:strCache>
                <c:ptCount val="1"/>
                <c:pt idx="0">
                  <c:v>Total</c:v>
                </c:pt>
              </c:strCache>
            </c:strRef>
          </c:tx>
          <c:spPr>
            <a:solidFill>
              <a:schemeClr val="accent1"/>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2-55A5-48DD-A866-7F7AD1E97468}"/>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3-55A5-48DD-A866-7F7AD1E97468}"/>
              </c:ext>
            </c:extLst>
          </c:dPt>
          <c:dPt>
            <c:idx val="2"/>
            <c:invertIfNegative val="0"/>
            <c:bubble3D val="0"/>
            <c:spPr>
              <a:solidFill>
                <a:srgbClr val="FFC000"/>
              </a:solidFill>
              <a:ln>
                <a:noFill/>
              </a:ln>
              <a:effectLst/>
            </c:spPr>
            <c:extLst>
              <c:ext xmlns:c16="http://schemas.microsoft.com/office/drawing/2014/chart" uri="{C3380CC4-5D6E-409C-BE32-E72D297353CC}">
                <c16:uniqueId val="{00000004-55A5-48DD-A866-7F7AD1E97468}"/>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5-55A5-48DD-A866-7F7AD1E97468}"/>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6-55A5-48DD-A866-7F7AD1E97468}"/>
              </c:ext>
            </c:extLst>
          </c:dPt>
          <c:cat>
            <c:strRef>
              <c:f>Pivot!$J$10:$J$16</c:f>
              <c:strCache>
                <c:ptCount val="6"/>
                <c:pt idx="0">
                  <c:v>2020</c:v>
                </c:pt>
                <c:pt idx="1">
                  <c:v>2021</c:v>
                </c:pt>
                <c:pt idx="2">
                  <c:v>2022</c:v>
                </c:pt>
                <c:pt idx="3">
                  <c:v>2023</c:v>
                </c:pt>
                <c:pt idx="4">
                  <c:v>2024</c:v>
                </c:pt>
                <c:pt idx="5">
                  <c:v>2025</c:v>
                </c:pt>
              </c:strCache>
            </c:strRef>
          </c:cat>
          <c:val>
            <c:numRef>
              <c:f>Pivot!$K$10:$K$16</c:f>
              <c:numCache>
                <c:formatCode>General</c:formatCode>
                <c:ptCount val="6"/>
                <c:pt idx="0">
                  <c:v>20250</c:v>
                </c:pt>
                <c:pt idx="1">
                  <c:v>21925</c:v>
                </c:pt>
                <c:pt idx="2">
                  <c:v>24243</c:v>
                </c:pt>
                <c:pt idx="3">
                  <c:v>25838</c:v>
                </c:pt>
                <c:pt idx="4">
                  <c:v>27918</c:v>
                </c:pt>
                <c:pt idx="5">
                  <c:v>21200</c:v>
                </c:pt>
              </c:numCache>
            </c:numRef>
          </c:val>
          <c:extLst>
            <c:ext xmlns:c16="http://schemas.microsoft.com/office/drawing/2014/chart" uri="{C3380CC4-5D6E-409C-BE32-E72D297353CC}">
              <c16:uniqueId val="{00000000-55A5-48DD-A866-7F7AD1E97468}"/>
            </c:ext>
          </c:extLst>
        </c:ser>
        <c:dLbls>
          <c:showLegendKey val="0"/>
          <c:showVal val="0"/>
          <c:showCatName val="0"/>
          <c:showSerName val="0"/>
          <c:showPercent val="0"/>
          <c:showBubbleSize val="0"/>
        </c:dLbls>
        <c:gapWidth val="182"/>
        <c:axId val="636897248"/>
        <c:axId val="636905408"/>
      </c:barChart>
      <c:catAx>
        <c:axId val="63689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05408"/>
        <c:crosses val="autoZero"/>
        <c:auto val="1"/>
        <c:lblAlgn val="ctr"/>
        <c:lblOffset val="100"/>
        <c:noMultiLvlLbl val="0"/>
      </c:catAx>
      <c:valAx>
        <c:axId val="63690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[Lamborghini_Sales_Dashboard.xlsx]Pivot!Price Distribution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Pivot!$B$37</c:f>
              <c:strCache>
                <c:ptCount val="1"/>
                <c:pt idx="0">
                  <c:v>Total</c:v>
                </c:pt>
              </c:strCache>
            </c:strRef>
          </c:tx>
          <c:spPr>
            <a:solidFill>
              <a:schemeClr val="accent1"/>
            </a:solidFill>
            <a:ln>
              <a:noFill/>
            </a:ln>
            <a:effectLst/>
          </c:spPr>
          <c:cat>
            <c:strRef>
              <c:f>Pivot!$A$38:$A$41</c:f>
              <c:strCache>
                <c:ptCount val="3"/>
                <c:pt idx="0">
                  <c:v>High Price</c:v>
                </c:pt>
                <c:pt idx="1">
                  <c:v>Medium Price</c:v>
                </c:pt>
                <c:pt idx="2">
                  <c:v>Low Price</c:v>
                </c:pt>
              </c:strCache>
            </c:strRef>
          </c:cat>
          <c:val>
            <c:numRef>
              <c:f>Pivot!$B$38:$B$41</c:f>
              <c:numCache>
                <c:formatCode>"$"#,##0</c:formatCode>
                <c:ptCount val="3"/>
                <c:pt idx="0">
                  <c:v>8520000</c:v>
                </c:pt>
                <c:pt idx="1">
                  <c:v>2685000</c:v>
                </c:pt>
                <c:pt idx="2">
                  <c:v>9030000</c:v>
                </c:pt>
              </c:numCache>
            </c:numRef>
          </c:val>
          <c:extLst>
            <c:ext xmlns:c16="http://schemas.microsoft.com/office/drawing/2014/chart" uri="{C3380CC4-5D6E-409C-BE32-E72D297353CC}">
              <c16:uniqueId val="{00000000-A7C0-403E-A5B2-A3F91CCD6BAB}"/>
            </c:ext>
          </c:extLst>
        </c:ser>
        <c:dLbls>
          <c:showLegendKey val="0"/>
          <c:showVal val="0"/>
          <c:showCatName val="0"/>
          <c:showSerName val="0"/>
          <c:showPercent val="0"/>
          <c:showBubbleSize val="0"/>
        </c:dLbls>
        <c:axId val="1981136815"/>
        <c:axId val="1981137775"/>
      </c:areaChart>
      <c:catAx>
        <c:axId val="198113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37775"/>
        <c:crosses val="autoZero"/>
        <c:auto val="1"/>
        <c:lblAlgn val="ctr"/>
        <c:lblOffset val="100"/>
        <c:noMultiLvlLbl val="0"/>
      </c:catAx>
      <c:valAx>
        <c:axId val="198113777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36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[Lamborghini_Sales_Dashboard.xlsx]Pivot!Price by Model</c:name>
    <c:fmtId val="5"/>
  </c:pivotSource>
  <c:chart>
    <c:autoTitleDeleted val="1"/>
    <c:pivotFmts>
      <c:pivotFmt>
        <c:idx val="0"/>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Pivot!$F$37</c:f>
              <c:strCache>
                <c:ptCount val="1"/>
                <c:pt idx="0">
                  <c:v>Total</c:v>
                </c:pt>
              </c:strCache>
            </c:strRef>
          </c:tx>
          <c:spPr>
            <a:ln w="15875" cap="rnd">
              <a:solidFill>
                <a:schemeClr val="accent1"/>
              </a:solidFill>
              <a:round/>
            </a:ln>
            <a:effectLst/>
          </c:spPr>
          <c:marker>
            <c:symbol val="none"/>
          </c:marker>
          <c:cat>
            <c:strRef>
              <c:f>Pivot!$E$38:$E$44</c:f>
              <c:strCache>
                <c:ptCount val="6"/>
                <c:pt idx="0">
                  <c:v>Aventador</c:v>
                </c:pt>
                <c:pt idx="1">
                  <c:v>HuracÃ¡n</c:v>
                </c:pt>
                <c:pt idx="2">
                  <c:v>HuracÃ¡n (Temerario)</c:v>
                </c:pt>
                <c:pt idx="3">
                  <c:v>Revuelto</c:v>
                </c:pt>
                <c:pt idx="4">
                  <c:v>Urus</c:v>
                </c:pt>
                <c:pt idx="5">
                  <c:v>Urus SE</c:v>
                </c:pt>
              </c:strCache>
            </c:strRef>
          </c:cat>
          <c:val>
            <c:numRef>
              <c:f>Pivot!$F$38:$F$44</c:f>
              <c:numCache>
                <c:formatCode>"$"#,##0</c:formatCode>
                <c:ptCount val="6"/>
                <c:pt idx="0">
                  <c:v>570000</c:v>
                </c:pt>
                <c:pt idx="1">
                  <c:v>278000</c:v>
                </c:pt>
                <c:pt idx="2">
                  <c:v>385000</c:v>
                </c:pt>
                <c:pt idx="3">
                  <c:v>535000</c:v>
                </c:pt>
                <c:pt idx="4">
                  <c:v>243750</c:v>
                </c:pt>
                <c:pt idx="5">
                  <c:v>322500</c:v>
                </c:pt>
              </c:numCache>
            </c:numRef>
          </c:val>
          <c:smooth val="1"/>
          <c:extLst>
            <c:ext xmlns:c16="http://schemas.microsoft.com/office/drawing/2014/chart" uri="{C3380CC4-5D6E-409C-BE32-E72D297353CC}">
              <c16:uniqueId val="{00000000-FBA2-4946-9E0D-B9A6EBAA5F30}"/>
            </c:ext>
          </c:extLst>
        </c:ser>
        <c:dLbls>
          <c:showLegendKey val="0"/>
          <c:showVal val="0"/>
          <c:showCatName val="0"/>
          <c:showSerName val="0"/>
          <c:showPercent val="0"/>
          <c:showBubbleSize val="0"/>
        </c:dLbls>
        <c:smooth val="0"/>
        <c:axId val="843766944"/>
        <c:axId val="843769344"/>
      </c:lineChart>
      <c:catAx>
        <c:axId val="84376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69344"/>
        <c:crosses val="autoZero"/>
        <c:auto val="1"/>
        <c:lblAlgn val="ctr"/>
        <c:lblOffset val="100"/>
        <c:noMultiLvlLbl val="0"/>
      </c:catAx>
      <c:valAx>
        <c:axId val="84376934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6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[Lamborghini_Sales_Dashboard.xlsx]Pivot!Revenue Analysis by Model</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tx2">
              <a:lumMod val="75000"/>
              <a:lumOff val="25000"/>
            </a:schemeClr>
          </a:solidFill>
          <a:ln>
            <a:noFill/>
          </a:ln>
          <a:effectLst/>
        </c:spPr>
      </c:pivotFmt>
      <c:pivotFmt>
        <c:idx val="3"/>
        <c:spPr>
          <a:solidFill>
            <a:schemeClr val="accent3">
              <a:lumMod val="75000"/>
            </a:schemeClr>
          </a:solidFill>
          <a:ln>
            <a:noFill/>
          </a:ln>
          <a:effectLst/>
        </c:spPr>
      </c:pivotFmt>
      <c:pivotFmt>
        <c:idx val="4"/>
        <c:spPr>
          <a:solidFill>
            <a:schemeClr val="accent6">
              <a:lumMod val="40000"/>
              <a:lumOff val="60000"/>
            </a:schemeClr>
          </a:solidFill>
          <a:ln>
            <a:noFill/>
          </a:ln>
          <a:effectLst/>
        </c:spPr>
      </c:pivotFmt>
      <c:pivotFmt>
        <c:idx val="5"/>
        <c:spPr>
          <a:solidFill>
            <a:schemeClr val="bg2">
              <a:lumMod val="90000"/>
            </a:schemeClr>
          </a:solidFill>
          <a:ln>
            <a:noFill/>
          </a:ln>
          <a:effectLst/>
        </c:spPr>
      </c:pivotFmt>
      <c:pivotFmt>
        <c:idx val="6"/>
        <c:spPr>
          <a:solidFill>
            <a:schemeClr val="tx1">
              <a:lumMod val="95000"/>
              <a:lumOff val="5000"/>
            </a:schemeClr>
          </a:solidFill>
          <a:ln>
            <a:noFill/>
          </a:ln>
          <a:effectLst/>
        </c:spPr>
      </c:pivotFmt>
    </c:pivotFmts>
    <c:plotArea>
      <c:layout/>
      <c:barChart>
        <c:barDir val="bar"/>
        <c:grouping val="clustered"/>
        <c:varyColors val="0"/>
        <c:ser>
          <c:idx val="0"/>
          <c:order val="0"/>
          <c:tx>
            <c:strRef>
              <c:f>Pivot!$J$38</c:f>
              <c:strCache>
                <c:ptCount val="1"/>
                <c:pt idx="0">
                  <c:v>Total</c:v>
                </c:pt>
              </c:strCache>
            </c:strRef>
          </c:tx>
          <c:spPr>
            <a:solidFill>
              <a:schemeClr val="accent1"/>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7-8BC4-4010-BFD6-CF2A7C5A987F}"/>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6-8BC4-4010-BFD6-CF2A7C5A987F}"/>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8BC4-4010-BFD6-CF2A7C5A987F}"/>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4-8BC4-4010-BFD6-CF2A7C5A987F}"/>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8BC4-4010-BFD6-CF2A7C5A987F}"/>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2-8BC4-4010-BFD6-CF2A7C5A987F}"/>
              </c:ext>
            </c:extLst>
          </c:dPt>
          <c:cat>
            <c:strRef>
              <c:f>Pivot!$I$39:$I$45</c:f>
              <c:strCache>
                <c:ptCount val="6"/>
                <c:pt idx="0">
                  <c:v>Aventador</c:v>
                </c:pt>
                <c:pt idx="1">
                  <c:v>HuracÃ¡n</c:v>
                </c:pt>
                <c:pt idx="2">
                  <c:v>HuracÃ¡n (Temerario)</c:v>
                </c:pt>
                <c:pt idx="3">
                  <c:v>Revuelto</c:v>
                </c:pt>
                <c:pt idx="4">
                  <c:v>Urus</c:v>
                </c:pt>
                <c:pt idx="5">
                  <c:v>Urus SE</c:v>
                </c:pt>
              </c:strCache>
            </c:strRef>
          </c:cat>
          <c:val>
            <c:numRef>
              <c:f>Pivot!$J$39:$J$45</c:f>
              <c:numCache>
                <c:formatCode>"$"#,##0</c:formatCode>
                <c:ptCount val="6"/>
                <c:pt idx="0">
                  <c:v>3380955000</c:v>
                </c:pt>
                <c:pt idx="1">
                  <c:v>11602560000</c:v>
                </c:pt>
                <c:pt idx="2">
                  <c:v>1482750000</c:v>
                </c:pt>
                <c:pt idx="3">
                  <c:v>4827000000</c:v>
                </c:pt>
                <c:pt idx="4">
                  <c:v>13277465000</c:v>
                </c:pt>
                <c:pt idx="5">
                  <c:v>8618850000</c:v>
                </c:pt>
              </c:numCache>
            </c:numRef>
          </c:val>
          <c:extLst>
            <c:ext xmlns:c16="http://schemas.microsoft.com/office/drawing/2014/chart" uri="{C3380CC4-5D6E-409C-BE32-E72D297353CC}">
              <c16:uniqueId val="{00000000-8BC4-4010-BFD6-CF2A7C5A987F}"/>
            </c:ext>
          </c:extLst>
        </c:ser>
        <c:dLbls>
          <c:showLegendKey val="0"/>
          <c:showVal val="0"/>
          <c:showCatName val="0"/>
          <c:showSerName val="0"/>
          <c:showPercent val="0"/>
          <c:showBubbleSize val="0"/>
        </c:dLbls>
        <c:gapWidth val="182"/>
        <c:axId val="843897024"/>
        <c:axId val="843888864"/>
      </c:barChart>
      <c:catAx>
        <c:axId val="84389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888864"/>
        <c:crosses val="autoZero"/>
        <c:auto val="1"/>
        <c:lblAlgn val="ctr"/>
        <c:lblOffset val="100"/>
        <c:noMultiLvlLbl val="0"/>
      </c:catAx>
      <c:valAx>
        <c:axId val="84388886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8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[Lamborghini_Sales_Dashboard.xlsx]Pivot!Revenue by Region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bg1">
              <a:lumMod val="6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Pivot!$Q$38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1C65-44B2-B1C5-20DD2A58B85D}"/>
              </c:ext>
            </c:extLst>
          </c:dPt>
          <c:dPt>
            <c:idx val="1"/>
            <c:invertIfNegative val="0"/>
            <c:bubble3D val="0"/>
            <c:extLst>
              <c:ext xmlns:c16="http://schemas.microsoft.com/office/drawing/2014/chart" uri="{C3380CC4-5D6E-409C-BE32-E72D297353CC}">
                <c16:uniqueId val="{00000003-1C65-44B2-B1C5-20DD2A58B85D}"/>
              </c:ext>
            </c:extLst>
          </c:dPt>
          <c:cat>
            <c:strRef>
              <c:f>Pivot!$P$39:$P$42</c:f>
              <c:strCache>
                <c:ptCount val="3"/>
                <c:pt idx="0">
                  <c:v>Americas</c:v>
                </c:pt>
                <c:pt idx="1">
                  <c:v>APAC</c:v>
                </c:pt>
                <c:pt idx="2">
                  <c:v>EMEA</c:v>
                </c:pt>
              </c:strCache>
            </c:strRef>
          </c:cat>
          <c:val>
            <c:numRef>
              <c:f>Pivot!$Q$39:$Q$42</c:f>
              <c:numCache>
                <c:formatCode>"$"#,##0</c:formatCode>
                <c:ptCount val="3"/>
                <c:pt idx="0">
                  <c:v>17224970000</c:v>
                </c:pt>
                <c:pt idx="1">
                  <c:v>10002955000</c:v>
                </c:pt>
                <c:pt idx="2">
                  <c:v>15961655000</c:v>
                </c:pt>
              </c:numCache>
            </c:numRef>
          </c:val>
          <c:extLst>
            <c:ext xmlns:c16="http://schemas.microsoft.com/office/drawing/2014/chart" uri="{C3380CC4-5D6E-409C-BE32-E72D297353CC}">
              <c16:uniqueId val="{00000000-1C65-44B2-B1C5-20DD2A58B85D}"/>
            </c:ext>
          </c:extLst>
        </c:ser>
        <c:dLbls>
          <c:showLegendKey val="0"/>
          <c:showVal val="0"/>
          <c:showCatName val="0"/>
          <c:showSerName val="0"/>
          <c:showPercent val="0"/>
          <c:showBubbleSize val="0"/>
        </c:dLbls>
        <c:gapWidth val="219"/>
        <c:overlap val="-27"/>
        <c:axId val="636910688"/>
        <c:axId val="636926528"/>
      </c:barChart>
      <c:catAx>
        <c:axId val="6369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26528"/>
        <c:crosses val="autoZero"/>
        <c:auto val="1"/>
        <c:lblAlgn val="ctr"/>
        <c:lblOffset val="100"/>
        <c:noMultiLvlLbl val="0"/>
      </c:catAx>
      <c:valAx>
        <c:axId val="63692652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1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[Lamborghini_Sales_Dashboard.xlsx]Pivot!Horsepower Distribution</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47-48AB-9239-58F31B3C0A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47-48AB-9239-58F31B3C0A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47-48AB-9239-58F31B3C0A01}"/>
              </c:ext>
            </c:extLst>
          </c:dPt>
          <c:cat>
            <c:strRef>
              <c:f>Pivot!$A$66:$A$69</c:f>
              <c:strCache>
                <c:ptCount val="3"/>
                <c:pt idx="0">
                  <c:v>High HP</c:v>
                </c:pt>
                <c:pt idx="1">
                  <c:v>Medium HP</c:v>
                </c:pt>
                <c:pt idx="2">
                  <c:v>Low HP</c:v>
                </c:pt>
              </c:strCache>
            </c:strRef>
          </c:cat>
          <c:val>
            <c:numRef>
              <c:f>Pivot!$B$66:$B$69</c:f>
              <c:numCache>
                <c:formatCode>General</c:formatCode>
                <c:ptCount val="3"/>
                <c:pt idx="0">
                  <c:v>6006</c:v>
                </c:pt>
                <c:pt idx="1">
                  <c:v>11778</c:v>
                </c:pt>
                <c:pt idx="2">
                  <c:v>21003</c:v>
                </c:pt>
              </c:numCache>
            </c:numRef>
          </c:val>
          <c:extLst>
            <c:ext xmlns:c16="http://schemas.microsoft.com/office/drawing/2014/chart" uri="{C3380CC4-5D6E-409C-BE32-E72D297353CC}">
              <c16:uniqueId val="{00000000-1FDE-498B-A723-492F19BAAF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[Lamborghini_Sales_Dashboard.xlsx]Pivot!Horsepower vs Sales Relationship</c:name>
    <c:fmtId val="9"/>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Pivot!$F$65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Pivot!$E$66:$E$69</c:f>
              <c:strCache>
                <c:ptCount val="3"/>
                <c:pt idx="0">
                  <c:v>High HP</c:v>
                </c:pt>
                <c:pt idx="1">
                  <c:v>Medium HP</c:v>
                </c:pt>
                <c:pt idx="2">
                  <c:v>Low HP</c:v>
                </c:pt>
              </c:strCache>
            </c:strRef>
          </c:cat>
          <c:val>
            <c:numRef>
              <c:f>Pivot!$F$66:$F$69</c:f>
              <c:numCache>
                <c:formatCode>General</c:formatCode>
                <c:ptCount val="3"/>
                <c:pt idx="0">
                  <c:v>8956</c:v>
                </c:pt>
                <c:pt idx="1">
                  <c:v>9820</c:v>
                </c:pt>
                <c:pt idx="2">
                  <c:v>122598</c:v>
                </c:pt>
              </c:numCache>
            </c:numRef>
          </c:val>
          <c:smooth val="0"/>
          <c:extLst>
            <c:ext xmlns:c16="http://schemas.microsoft.com/office/drawing/2014/chart" uri="{C3380CC4-5D6E-409C-BE32-E72D297353CC}">
              <c16:uniqueId val="{00000000-93EE-409E-92C6-847DC15C5128}"/>
            </c:ext>
          </c:extLst>
        </c:ser>
        <c:dLbls>
          <c:showLegendKey val="0"/>
          <c:showVal val="0"/>
          <c:showCatName val="0"/>
          <c:showSerName val="0"/>
          <c:showPercent val="0"/>
          <c:showBubbleSize val="0"/>
        </c:dLbls>
        <c:marker val="1"/>
        <c:smooth val="0"/>
        <c:axId val="1730087584"/>
        <c:axId val="1730088544"/>
      </c:lineChart>
      <c:catAx>
        <c:axId val="17300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88544"/>
        <c:crosses val="autoZero"/>
        <c:auto val="1"/>
        <c:lblAlgn val="ctr"/>
        <c:lblOffset val="100"/>
        <c:noMultiLvlLbl val="0"/>
      </c:catAx>
      <c:valAx>
        <c:axId val="1730088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875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[Lamborghini_Sales_Dashboard.xlsx]Pivot!Performance vs Price</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tx1">
              <a:lumMod val="50000"/>
              <a:lumOff val="50000"/>
            </a:schemeClr>
          </a:solidFill>
          <a:ln>
            <a:noFill/>
          </a:ln>
          <a:effectLst/>
        </c:spPr>
      </c:pivotFmt>
    </c:pivotFmts>
    <c:plotArea>
      <c:layout/>
      <c:barChart>
        <c:barDir val="col"/>
        <c:grouping val="clustered"/>
        <c:varyColors val="0"/>
        <c:ser>
          <c:idx val="0"/>
          <c:order val="0"/>
          <c:tx>
            <c:strRef>
              <c:f>Pivot!$J$65</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2-C02F-447A-87FE-D1201E44A032}"/>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C02F-447A-87FE-D1201E44A032}"/>
              </c:ext>
            </c:extLst>
          </c:dPt>
          <c:cat>
            <c:strRef>
              <c:f>Pivot!$I$66:$I$69</c:f>
              <c:strCache>
                <c:ptCount val="3"/>
                <c:pt idx="0">
                  <c:v>High HP</c:v>
                </c:pt>
                <c:pt idx="1">
                  <c:v>Medium HP</c:v>
                </c:pt>
                <c:pt idx="2">
                  <c:v>Low HP</c:v>
                </c:pt>
              </c:strCache>
            </c:strRef>
          </c:cat>
          <c:val>
            <c:numRef>
              <c:f>Pivot!$J$66:$J$69</c:f>
              <c:numCache>
                <c:formatCode>"$"#,##0</c:formatCode>
                <c:ptCount val="3"/>
                <c:pt idx="0">
                  <c:v>535000</c:v>
                </c:pt>
                <c:pt idx="1">
                  <c:v>533000</c:v>
                </c:pt>
                <c:pt idx="2">
                  <c:v>273636.36363636365</c:v>
                </c:pt>
              </c:numCache>
            </c:numRef>
          </c:val>
          <c:extLst>
            <c:ext xmlns:c16="http://schemas.microsoft.com/office/drawing/2014/chart" uri="{C3380CC4-5D6E-409C-BE32-E72D297353CC}">
              <c16:uniqueId val="{00000000-C02F-447A-87FE-D1201E44A032}"/>
            </c:ext>
          </c:extLst>
        </c:ser>
        <c:dLbls>
          <c:showLegendKey val="0"/>
          <c:showVal val="0"/>
          <c:showCatName val="0"/>
          <c:showSerName val="0"/>
          <c:showPercent val="0"/>
          <c:showBubbleSize val="0"/>
        </c:dLbls>
        <c:gapWidth val="219"/>
        <c:overlap val="-27"/>
        <c:axId val="754671248"/>
        <c:axId val="754683248"/>
      </c:barChart>
      <c:catAx>
        <c:axId val="75467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83248"/>
        <c:crosses val="autoZero"/>
        <c:auto val="1"/>
        <c:lblAlgn val="ctr"/>
        <c:lblOffset val="100"/>
        <c:noMultiLvlLbl val="0"/>
      </c:catAx>
      <c:valAx>
        <c:axId val="75468324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7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[Lamborghini_Sales_Dashboard.xlsx]Pivot!Fuel Type Analysis</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pivotFmt>
    </c:pivotFmts>
    <c:plotArea>
      <c:layout/>
      <c:barChart>
        <c:barDir val="bar"/>
        <c:grouping val="clustered"/>
        <c:varyColors val="0"/>
        <c:ser>
          <c:idx val="0"/>
          <c:order val="0"/>
          <c:tx>
            <c:strRef>
              <c:f>Pivot!$B$90</c:f>
              <c:strCache>
                <c:ptCount val="1"/>
                <c:pt idx="0">
                  <c:v>Total</c:v>
                </c:pt>
              </c:strCache>
            </c:strRef>
          </c:tx>
          <c:spPr>
            <a:solidFill>
              <a:schemeClr val="accent1"/>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1A8D-4526-9066-E5BCEA105D56}"/>
              </c:ext>
            </c:extLst>
          </c:dPt>
          <c:cat>
            <c:strRef>
              <c:f>Pivot!$A$91:$A$93</c:f>
              <c:strCache>
                <c:ptCount val="2"/>
                <c:pt idx="0">
                  <c:v>Gasoline</c:v>
                </c:pt>
                <c:pt idx="1">
                  <c:v>Hybrid</c:v>
                </c:pt>
              </c:strCache>
            </c:strRef>
          </c:cat>
          <c:val>
            <c:numRef>
              <c:f>Pivot!$B$91:$B$93</c:f>
              <c:numCache>
                <c:formatCode>General</c:formatCode>
                <c:ptCount val="2"/>
                <c:pt idx="0">
                  <c:v>101756</c:v>
                </c:pt>
                <c:pt idx="1">
                  <c:v>39618</c:v>
                </c:pt>
              </c:numCache>
            </c:numRef>
          </c:val>
          <c:extLst>
            <c:ext xmlns:c16="http://schemas.microsoft.com/office/drawing/2014/chart" uri="{C3380CC4-5D6E-409C-BE32-E72D297353CC}">
              <c16:uniqueId val="{00000000-1A8D-4526-9066-E5BCEA105D56}"/>
            </c:ext>
          </c:extLst>
        </c:ser>
        <c:dLbls>
          <c:showLegendKey val="0"/>
          <c:showVal val="0"/>
          <c:showCatName val="0"/>
          <c:showSerName val="0"/>
          <c:showPercent val="0"/>
          <c:showBubbleSize val="0"/>
        </c:dLbls>
        <c:gapWidth val="182"/>
        <c:axId val="1981271695"/>
        <c:axId val="1981261135"/>
      </c:barChart>
      <c:catAx>
        <c:axId val="1981271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61135"/>
        <c:crosses val="autoZero"/>
        <c:auto val="1"/>
        <c:lblAlgn val="ctr"/>
        <c:lblOffset val="100"/>
        <c:noMultiLvlLbl val="0"/>
      </c:catAx>
      <c:valAx>
        <c:axId val="1981261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7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[Lamborghini_Sales_Dashboard.xlsx]Pivot!Fuel Type Pricing Comparison</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pivotFmt>
    </c:pivotFmts>
    <c:plotArea>
      <c:layout/>
      <c:barChart>
        <c:barDir val="col"/>
        <c:grouping val="clustered"/>
        <c:varyColors val="0"/>
        <c:ser>
          <c:idx val="0"/>
          <c:order val="0"/>
          <c:tx>
            <c:strRef>
              <c:f>Pivot!$F$90</c:f>
              <c:strCache>
                <c:ptCount val="1"/>
                <c:pt idx="0">
                  <c:v>Total</c:v>
                </c:pt>
              </c:strCache>
            </c:strRef>
          </c:tx>
          <c:spPr>
            <a:solidFill>
              <a:schemeClr val="accent1"/>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F03B-49DF-809F-55A5438F201A}"/>
              </c:ext>
            </c:extLst>
          </c:dPt>
          <c:cat>
            <c:strRef>
              <c:f>Pivot!$E$91:$E$93</c:f>
              <c:strCache>
                <c:ptCount val="2"/>
                <c:pt idx="0">
                  <c:v>Gasoline</c:v>
                </c:pt>
                <c:pt idx="1">
                  <c:v>Hybrid</c:v>
                </c:pt>
              </c:strCache>
            </c:strRef>
          </c:cat>
          <c:val>
            <c:numRef>
              <c:f>Pivot!$F$91:$F$93</c:f>
              <c:numCache>
                <c:formatCode>"$"#,##0</c:formatCode>
                <c:ptCount val="2"/>
                <c:pt idx="0">
                  <c:v>357307.69230769231</c:v>
                </c:pt>
                <c:pt idx="1">
                  <c:v>420000</c:v>
                </c:pt>
              </c:numCache>
            </c:numRef>
          </c:val>
          <c:extLst>
            <c:ext xmlns:c16="http://schemas.microsoft.com/office/drawing/2014/chart" uri="{C3380CC4-5D6E-409C-BE32-E72D297353CC}">
              <c16:uniqueId val="{00000000-F03B-49DF-809F-55A5438F201A}"/>
            </c:ext>
          </c:extLst>
        </c:ser>
        <c:dLbls>
          <c:showLegendKey val="0"/>
          <c:showVal val="0"/>
          <c:showCatName val="0"/>
          <c:showSerName val="0"/>
          <c:showPercent val="0"/>
          <c:showBubbleSize val="0"/>
        </c:dLbls>
        <c:gapWidth val="219"/>
        <c:overlap val="-27"/>
        <c:axId val="754665008"/>
        <c:axId val="754679888"/>
      </c:barChart>
      <c:catAx>
        <c:axId val="7546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79888"/>
        <c:crosses val="autoZero"/>
        <c:auto val="1"/>
        <c:lblAlgn val="ctr"/>
        <c:lblOffset val="100"/>
        <c:noMultiLvlLbl val="0"/>
      </c:catAx>
      <c:valAx>
        <c:axId val="75467988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6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[Lamborghini_Sales_Dashboard.xlsx]Pivot!PivotTable26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Pivot!$B$117:$B$118</c:f>
              <c:strCache>
                <c:ptCount val="1"/>
                <c:pt idx="0">
                  <c:v>Americas</c:v>
                </c:pt>
              </c:strCache>
            </c:strRef>
          </c:tx>
          <c:spPr>
            <a:solidFill>
              <a:schemeClr val="accent1"/>
            </a:solidFill>
            <a:ln>
              <a:noFill/>
            </a:ln>
            <a:effectLst/>
          </c:spPr>
          <c:invertIfNegative val="0"/>
          <c:cat>
            <c:strRef>
              <c:f>Pivot!$A$119:$A$125</c:f>
              <c:strCache>
                <c:ptCount val="6"/>
                <c:pt idx="0">
                  <c:v>Aventador</c:v>
                </c:pt>
                <c:pt idx="1">
                  <c:v>HuracÃ¡n</c:v>
                </c:pt>
                <c:pt idx="2">
                  <c:v>HuracÃ¡n (Temerario)</c:v>
                </c:pt>
                <c:pt idx="3">
                  <c:v>Revuelto</c:v>
                </c:pt>
                <c:pt idx="4">
                  <c:v>Urus</c:v>
                </c:pt>
                <c:pt idx="5">
                  <c:v>Urus SE</c:v>
                </c:pt>
              </c:strCache>
            </c:strRef>
          </c:cat>
          <c:val>
            <c:numRef>
              <c:f>Pivot!$B$119:$B$125</c:f>
              <c:numCache>
                <c:formatCode>General</c:formatCode>
                <c:ptCount val="6"/>
                <c:pt idx="0">
                  <c:v>2313</c:v>
                </c:pt>
                <c:pt idx="1">
                  <c:v>16300</c:v>
                </c:pt>
                <c:pt idx="2">
                  <c:v>1400</c:v>
                </c:pt>
                <c:pt idx="3">
                  <c:v>3300</c:v>
                </c:pt>
                <c:pt idx="4">
                  <c:v>21750</c:v>
                </c:pt>
                <c:pt idx="5">
                  <c:v>10600</c:v>
                </c:pt>
              </c:numCache>
            </c:numRef>
          </c:val>
          <c:extLst>
            <c:ext xmlns:c16="http://schemas.microsoft.com/office/drawing/2014/chart" uri="{C3380CC4-5D6E-409C-BE32-E72D297353CC}">
              <c16:uniqueId val="{00000000-7831-46F3-8CEC-329BBA89972B}"/>
            </c:ext>
          </c:extLst>
        </c:ser>
        <c:ser>
          <c:idx val="1"/>
          <c:order val="1"/>
          <c:tx>
            <c:strRef>
              <c:f>Pivot!$C$117:$C$118</c:f>
              <c:strCache>
                <c:ptCount val="1"/>
                <c:pt idx="0">
                  <c:v>APAC</c:v>
                </c:pt>
              </c:strCache>
            </c:strRef>
          </c:tx>
          <c:spPr>
            <a:solidFill>
              <a:schemeClr val="accent2"/>
            </a:solidFill>
            <a:ln>
              <a:noFill/>
            </a:ln>
            <a:effectLst/>
          </c:spPr>
          <c:invertIfNegative val="0"/>
          <c:cat>
            <c:strRef>
              <c:f>Pivot!$A$119:$A$125</c:f>
              <c:strCache>
                <c:ptCount val="6"/>
                <c:pt idx="0">
                  <c:v>Aventador</c:v>
                </c:pt>
                <c:pt idx="1">
                  <c:v>HuracÃ¡n</c:v>
                </c:pt>
                <c:pt idx="2">
                  <c:v>HuracÃ¡n (Temerario)</c:v>
                </c:pt>
                <c:pt idx="3">
                  <c:v>Revuelto</c:v>
                </c:pt>
                <c:pt idx="4">
                  <c:v>Urus</c:v>
                </c:pt>
                <c:pt idx="5">
                  <c:v>Urus SE</c:v>
                </c:pt>
              </c:strCache>
            </c:strRef>
          </c:cat>
          <c:val>
            <c:numRef>
              <c:f>Pivot!$C$119:$C$125</c:f>
              <c:numCache>
                <c:formatCode>General</c:formatCode>
                <c:ptCount val="6"/>
                <c:pt idx="0">
                  <c:v>1443</c:v>
                </c:pt>
                <c:pt idx="1">
                  <c:v>9420</c:v>
                </c:pt>
                <c:pt idx="2">
                  <c:v>1150</c:v>
                </c:pt>
                <c:pt idx="3">
                  <c:v>2550</c:v>
                </c:pt>
                <c:pt idx="4">
                  <c:v>11580</c:v>
                </c:pt>
                <c:pt idx="5">
                  <c:v>5900</c:v>
                </c:pt>
              </c:numCache>
            </c:numRef>
          </c:val>
          <c:extLst>
            <c:ext xmlns:c16="http://schemas.microsoft.com/office/drawing/2014/chart" uri="{C3380CC4-5D6E-409C-BE32-E72D297353CC}">
              <c16:uniqueId val="{00000001-7831-46F3-8CEC-329BBA89972B}"/>
            </c:ext>
          </c:extLst>
        </c:ser>
        <c:ser>
          <c:idx val="2"/>
          <c:order val="2"/>
          <c:tx>
            <c:strRef>
              <c:f>Pivot!$D$117:$D$118</c:f>
              <c:strCache>
                <c:ptCount val="1"/>
                <c:pt idx="0">
                  <c:v>EMEA</c:v>
                </c:pt>
              </c:strCache>
            </c:strRef>
          </c:tx>
          <c:spPr>
            <a:solidFill>
              <a:schemeClr val="accent3"/>
            </a:solidFill>
            <a:ln>
              <a:noFill/>
            </a:ln>
            <a:effectLst/>
          </c:spPr>
          <c:invertIfNegative val="0"/>
          <c:cat>
            <c:strRef>
              <c:f>Pivot!$A$119:$A$125</c:f>
              <c:strCache>
                <c:ptCount val="6"/>
                <c:pt idx="0">
                  <c:v>Aventador</c:v>
                </c:pt>
                <c:pt idx="1">
                  <c:v>HuracÃ¡n</c:v>
                </c:pt>
                <c:pt idx="2">
                  <c:v>HuracÃ¡n (Temerario)</c:v>
                </c:pt>
                <c:pt idx="3">
                  <c:v>Revuelto</c:v>
                </c:pt>
                <c:pt idx="4">
                  <c:v>Urus</c:v>
                </c:pt>
                <c:pt idx="5">
                  <c:v>Urus SE</c:v>
                </c:pt>
              </c:strCache>
            </c:strRef>
          </c:cat>
          <c:val>
            <c:numRef>
              <c:f>Pivot!$D$119:$D$125</c:f>
              <c:numCache>
                <c:formatCode>General</c:formatCode>
                <c:ptCount val="6"/>
                <c:pt idx="0">
                  <c:v>2214</c:v>
                </c:pt>
                <c:pt idx="1">
                  <c:v>15761</c:v>
                </c:pt>
                <c:pt idx="2">
                  <c:v>1300</c:v>
                </c:pt>
                <c:pt idx="3">
                  <c:v>3106</c:v>
                </c:pt>
                <c:pt idx="4">
                  <c:v>20975</c:v>
                </c:pt>
                <c:pt idx="5">
                  <c:v>10312</c:v>
                </c:pt>
              </c:numCache>
            </c:numRef>
          </c:val>
          <c:extLst>
            <c:ext xmlns:c16="http://schemas.microsoft.com/office/drawing/2014/chart" uri="{C3380CC4-5D6E-409C-BE32-E72D297353CC}">
              <c16:uniqueId val="{00000002-7831-46F3-8CEC-329BBA89972B}"/>
            </c:ext>
          </c:extLst>
        </c:ser>
        <c:dLbls>
          <c:showLegendKey val="0"/>
          <c:showVal val="0"/>
          <c:showCatName val="0"/>
          <c:showSerName val="0"/>
          <c:showPercent val="0"/>
          <c:showBubbleSize val="0"/>
        </c:dLbls>
        <c:gapWidth val="150"/>
        <c:axId val="1730024224"/>
        <c:axId val="1730009344"/>
      </c:barChart>
      <c:catAx>
        <c:axId val="173002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09344"/>
        <c:crosses val="autoZero"/>
        <c:auto val="1"/>
        <c:lblAlgn val="ctr"/>
        <c:lblOffset val="100"/>
        <c:noMultiLvlLbl val="0"/>
      </c:catAx>
      <c:valAx>
        <c:axId val="173000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2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[Lamborghini_Sales_Dashboard.xlsx]Pivot!Most Popular Color</c:name>
    <c:fmtId val="1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Pivot!$H$117</c:f>
              <c:strCache>
                <c:ptCount val="1"/>
                <c:pt idx="0">
                  <c:v>Total</c:v>
                </c:pt>
              </c:strCache>
            </c:strRef>
          </c:tx>
          <c:spPr>
            <a:ln w="28575" cap="rnd">
              <a:solidFill>
                <a:schemeClr val="accent1"/>
              </a:solidFill>
              <a:round/>
            </a:ln>
            <a:effectLst/>
          </c:spPr>
          <c:marker>
            <c:symbol val="none"/>
          </c:marker>
          <c:cat>
            <c:strRef>
              <c:f>Pivot!$G$118:$G$127</c:f>
              <c:strCache>
                <c:ptCount val="9"/>
                <c:pt idx="0">
                  <c:v>Black</c:v>
                </c:pt>
                <c:pt idx="1">
                  <c:v>Blue</c:v>
                </c:pt>
                <c:pt idx="2">
                  <c:v>Green</c:v>
                </c:pt>
                <c:pt idx="3">
                  <c:v>Grey</c:v>
                </c:pt>
                <c:pt idx="4">
                  <c:v>Orange</c:v>
                </c:pt>
                <c:pt idx="5">
                  <c:v>Red</c:v>
                </c:pt>
                <c:pt idx="6">
                  <c:v>Silver</c:v>
                </c:pt>
                <c:pt idx="7">
                  <c:v>White</c:v>
                </c:pt>
                <c:pt idx="8">
                  <c:v>Yellow</c:v>
                </c:pt>
              </c:strCache>
            </c:strRef>
          </c:cat>
          <c:val>
            <c:numRef>
              <c:f>Pivot!$H$118:$H$127</c:f>
              <c:numCache>
                <c:formatCode>General</c:formatCode>
                <c:ptCount val="9"/>
                <c:pt idx="0">
                  <c:v>44900</c:v>
                </c:pt>
                <c:pt idx="1">
                  <c:v>3206</c:v>
                </c:pt>
                <c:pt idx="2">
                  <c:v>900</c:v>
                </c:pt>
                <c:pt idx="3">
                  <c:v>1300</c:v>
                </c:pt>
                <c:pt idx="4">
                  <c:v>17700</c:v>
                </c:pt>
                <c:pt idx="5">
                  <c:v>15093</c:v>
                </c:pt>
                <c:pt idx="6">
                  <c:v>13571</c:v>
                </c:pt>
                <c:pt idx="7">
                  <c:v>28943</c:v>
                </c:pt>
                <c:pt idx="8">
                  <c:v>15761</c:v>
                </c:pt>
              </c:numCache>
            </c:numRef>
          </c:val>
          <c:smooth val="1"/>
          <c:extLst>
            <c:ext xmlns:c16="http://schemas.microsoft.com/office/drawing/2014/chart" uri="{C3380CC4-5D6E-409C-BE32-E72D297353CC}">
              <c16:uniqueId val="{00000000-F8D1-415F-ABD9-43D5BDBBEF0D}"/>
            </c:ext>
          </c:extLst>
        </c:ser>
        <c:dLbls>
          <c:showLegendKey val="0"/>
          <c:showVal val="0"/>
          <c:showCatName val="0"/>
          <c:showSerName val="0"/>
          <c:showPercent val="0"/>
          <c:showBubbleSize val="0"/>
        </c:dLbls>
        <c:smooth val="0"/>
        <c:axId val="348301024"/>
        <c:axId val="348306304"/>
      </c:lineChart>
      <c:catAx>
        <c:axId val="34830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06304"/>
        <c:crosses val="autoZero"/>
        <c:auto val="1"/>
        <c:lblAlgn val="ctr"/>
        <c:lblOffset val="100"/>
        <c:noMultiLvlLbl val="0"/>
      </c:catAx>
      <c:valAx>
        <c:axId val="34830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010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[Lamborghini_Sales_Dashboard.xlsx]Pivot!Model Distribution</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bg1">
              <a:lumMod val="65000"/>
            </a:schemeClr>
          </a:solidFill>
          <a:ln>
            <a:noFill/>
          </a:ln>
          <a:effectLst/>
        </c:spPr>
      </c:pivotFmt>
      <c:pivotFmt>
        <c:idx val="2"/>
        <c:spPr>
          <a:solidFill>
            <a:schemeClr val="accent6">
              <a:lumMod val="75000"/>
            </a:schemeClr>
          </a:solidFill>
          <a:ln>
            <a:noFill/>
          </a:ln>
          <a:effectLst/>
        </c:spPr>
      </c:pivotFmt>
      <c:pivotFmt>
        <c:idx val="3"/>
        <c:spPr>
          <a:solidFill>
            <a:srgbClr val="FFC000"/>
          </a:solidFill>
          <a:ln>
            <a:noFill/>
          </a:ln>
          <a:effectLst/>
        </c:spPr>
      </c:pivotFmt>
      <c:pivotFmt>
        <c:idx val="4"/>
        <c:spPr>
          <a:solidFill>
            <a:schemeClr val="tx1">
              <a:lumMod val="95000"/>
              <a:lumOff val="5000"/>
            </a:schemeClr>
          </a:solidFill>
          <a:ln>
            <a:noFill/>
          </a:ln>
          <a:effectLst/>
        </c:spPr>
      </c:pivotFmt>
      <c:pivotFmt>
        <c:idx val="5"/>
        <c:spPr>
          <a:solidFill>
            <a:schemeClr val="tx2">
              <a:lumMod val="50000"/>
              <a:lumOff val="5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6">
              <a:lumMod val="20000"/>
              <a:lumOff val="80000"/>
            </a:schemeClr>
          </a:solidFill>
          <a:ln>
            <a:noFill/>
          </a:ln>
          <a:effectLst/>
        </c:spPr>
      </c:pivotFmt>
      <c:pivotFmt>
        <c:idx val="9"/>
        <c:spPr>
          <a:solidFill>
            <a:schemeClr val="tx2">
              <a:lumMod val="50000"/>
              <a:lumOff val="50000"/>
            </a:schemeClr>
          </a:solidFill>
          <a:ln>
            <a:noFill/>
          </a:ln>
          <a:effectLst/>
        </c:spPr>
      </c:pivotFmt>
      <c:pivotFmt>
        <c:idx val="10"/>
        <c:spPr>
          <a:solidFill>
            <a:schemeClr val="tx1">
              <a:lumMod val="95000"/>
              <a:lumOff val="5000"/>
            </a:schemeClr>
          </a:solidFill>
          <a:ln>
            <a:noFill/>
          </a:ln>
          <a:effectLst/>
        </c:spPr>
      </c:pivotFmt>
      <c:pivotFmt>
        <c:idx val="11"/>
        <c:spPr>
          <a:solidFill>
            <a:srgbClr val="FFC000"/>
          </a:solidFill>
          <a:ln>
            <a:noFill/>
          </a:ln>
          <a:effectLst/>
        </c:spPr>
      </c:pivotFmt>
      <c:pivotFmt>
        <c:idx val="12"/>
        <c:spPr>
          <a:solidFill>
            <a:schemeClr val="accent6">
              <a:lumMod val="75000"/>
            </a:schemeClr>
          </a:solidFill>
          <a:ln>
            <a:noFill/>
          </a:ln>
          <a:effectLst/>
        </c:spPr>
      </c:pivotFmt>
      <c:pivotFmt>
        <c:idx val="13"/>
        <c:spPr>
          <a:solidFill>
            <a:schemeClr val="bg1">
              <a:lumMod val="65000"/>
            </a:schemeClr>
          </a:solidFill>
          <a:ln>
            <a:noFill/>
          </a:ln>
          <a:effectLst/>
        </c:spPr>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5">
              <a:lumMod val="60000"/>
              <a:lumOff val="40000"/>
            </a:schemeClr>
          </a:solidFill>
          <a:ln>
            <a:noFill/>
          </a:ln>
          <a:effectLst/>
        </c:spPr>
      </c:pivotFmt>
      <c:pivotFmt>
        <c:idx val="16"/>
        <c:spPr>
          <a:solidFill>
            <a:schemeClr val="bg1">
              <a:lumMod val="50000"/>
            </a:schemeClr>
          </a:solidFill>
          <a:ln>
            <a:noFill/>
          </a:ln>
          <a:effectLst/>
        </c:spPr>
      </c:pivotFmt>
      <c:pivotFmt>
        <c:idx val="17"/>
        <c:spPr>
          <a:solidFill>
            <a:schemeClr val="tx1">
              <a:lumMod val="95000"/>
              <a:lumOff val="5000"/>
            </a:schemeClr>
          </a:solidFill>
          <a:ln>
            <a:noFill/>
          </a:ln>
          <a:effectLst/>
        </c:spPr>
      </c:pivotFmt>
      <c:pivotFmt>
        <c:idx val="18"/>
        <c:spPr>
          <a:solidFill>
            <a:srgbClr val="FFC000"/>
          </a:solidFill>
          <a:ln>
            <a:noFill/>
          </a:ln>
          <a:effectLst/>
        </c:spPr>
      </c:pivotFmt>
      <c:pivotFmt>
        <c:idx val="19"/>
        <c:spPr>
          <a:solidFill>
            <a:schemeClr val="accent6">
              <a:lumMod val="75000"/>
            </a:schemeClr>
          </a:solidFill>
          <a:ln>
            <a:noFill/>
          </a:ln>
          <a:effectLst/>
        </c:spPr>
      </c:pivotFmt>
      <c:pivotFmt>
        <c:idx val="20"/>
        <c:spPr>
          <a:solidFill>
            <a:schemeClr val="bg1">
              <a:lumMod val="85000"/>
            </a:schemeClr>
          </a:solidFill>
          <a:ln>
            <a:noFill/>
          </a:ln>
          <a:effectLst/>
        </c:spPr>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lumMod val="60000"/>
              <a:lumOff val="40000"/>
            </a:schemeClr>
          </a:solidFill>
          <a:ln>
            <a:noFill/>
          </a:ln>
          <a:effectLst/>
        </c:spPr>
      </c:pivotFmt>
      <c:pivotFmt>
        <c:idx val="23"/>
        <c:spPr>
          <a:solidFill>
            <a:schemeClr val="bg1">
              <a:lumMod val="50000"/>
            </a:schemeClr>
          </a:solidFill>
          <a:ln>
            <a:noFill/>
          </a:ln>
          <a:effectLst/>
        </c:spPr>
      </c:pivotFmt>
      <c:pivotFmt>
        <c:idx val="24"/>
        <c:spPr>
          <a:solidFill>
            <a:schemeClr val="tx1">
              <a:lumMod val="95000"/>
              <a:lumOff val="5000"/>
            </a:schemeClr>
          </a:solidFill>
          <a:ln>
            <a:noFill/>
          </a:ln>
          <a:effectLst/>
        </c:spPr>
      </c:pivotFmt>
      <c:pivotFmt>
        <c:idx val="25"/>
        <c:spPr>
          <a:solidFill>
            <a:srgbClr val="FFC000"/>
          </a:solidFill>
          <a:ln>
            <a:noFill/>
          </a:ln>
          <a:effectLst/>
        </c:spPr>
      </c:pivotFmt>
      <c:pivotFmt>
        <c:idx val="26"/>
        <c:spPr>
          <a:solidFill>
            <a:schemeClr val="accent6">
              <a:lumMod val="75000"/>
            </a:schemeClr>
          </a:solidFill>
          <a:ln>
            <a:noFill/>
          </a:ln>
          <a:effectLst/>
        </c:spPr>
      </c:pivotFmt>
      <c:pivotFmt>
        <c:idx val="27"/>
        <c:spPr>
          <a:solidFill>
            <a:schemeClr val="bg1">
              <a:lumMod val="85000"/>
            </a:schemeClr>
          </a:solidFill>
          <a:ln>
            <a:noFill/>
          </a:ln>
          <a:effectLst/>
        </c:spPr>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5">
              <a:lumMod val="60000"/>
              <a:lumOff val="40000"/>
            </a:schemeClr>
          </a:solidFill>
          <a:ln>
            <a:noFill/>
          </a:ln>
          <a:effectLst/>
        </c:spPr>
      </c:pivotFmt>
      <c:pivotFmt>
        <c:idx val="30"/>
        <c:spPr>
          <a:solidFill>
            <a:schemeClr val="bg1">
              <a:lumMod val="50000"/>
            </a:schemeClr>
          </a:solidFill>
          <a:ln>
            <a:noFill/>
          </a:ln>
          <a:effectLst/>
        </c:spPr>
      </c:pivotFmt>
      <c:pivotFmt>
        <c:idx val="31"/>
        <c:spPr>
          <a:solidFill>
            <a:schemeClr val="tx1">
              <a:lumMod val="95000"/>
              <a:lumOff val="5000"/>
            </a:schemeClr>
          </a:solidFill>
          <a:ln>
            <a:noFill/>
          </a:ln>
          <a:effectLst/>
        </c:spPr>
      </c:pivotFmt>
      <c:pivotFmt>
        <c:idx val="32"/>
        <c:spPr>
          <a:solidFill>
            <a:srgbClr val="FFC000"/>
          </a:solidFill>
          <a:ln>
            <a:noFill/>
          </a:ln>
          <a:effectLst/>
        </c:spPr>
      </c:pivotFmt>
      <c:pivotFmt>
        <c:idx val="33"/>
        <c:spPr>
          <a:solidFill>
            <a:schemeClr val="accent6">
              <a:lumMod val="75000"/>
            </a:schemeClr>
          </a:solidFill>
          <a:ln>
            <a:noFill/>
          </a:ln>
          <a:effectLst/>
        </c:spPr>
      </c:pivotFmt>
      <c:pivotFmt>
        <c:idx val="34"/>
        <c:spPr>
          <a:solidFill>
            <a:schemeClr val="bg1">
              <a:lumMod val="85000"/>
            </a:schemeClr>
          </a:solidFill>
          <a:ln>
            <a:noFill/>
          </a:ln>
          <a:effectLst/>
        </c:spPr>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5">
              <a:lumMod val="60000"/>
              <a:lumOff val="40000"/>
            </a:schemeClr>
          </a:solidFill>
          <a:ln>
            <a:noFill/>
          </a:ln>
          <a:effectLst/>
        </c:spPr>
      </c:pivotFmt>
      <c:pivotFmt>
        <c:idx val="37"/>
        <c:spPr>
          <a:solidFill>
            <a:schemeClr val="bg1">
              <a:lumMod val="50000"/>
            </a:schemeClr>
          </a:solidFill>
          <a:ln>
            <a:noFill/>
          </a:ln>
          <a:effectLst/>
        </c:spPr>
      </c:pivotFmt>
      <c:pivotFmt>
        <c:idx val="38"/>
        <c:spPr>
          <a:solidFill>
            <a:schemeClr val="tx1">
              <a:lumMod val="95000"/>
              <a:lumOff val="5000"/>
            </a:schemeClr>
          </a:solidFill>
          <a:ln>
            <a:noFill/>
          </a:ln>
          <a:effectLst/>
        </c:spPr>
      </c:pivotFmt>
      <c:pivotFmt>
        <c:idx val="39"/>
        <c:spPr>
          <a:solidFill>
            <a:srgbClr val="FFC000"/>
          </a:solidFill>
          <a:ln>
            <a:noFill/>
          </a:ln>
          <a:effectLst/>
        </c:spPr>
      </c:pivotFmt>
      <c:pivotFmt>
        <c:idx val="40"/>
        <c:spPr>
          <a:solidFill>
            <a:schemeClr val="accent6">
              <a:lumMod val="75000"/>
            </a:schemeClr>
          </a:solidFill>
          <a:ln>
            <a:noFill/>
          </a:ln>
          <a:effectLst/>
        </c:spPr>
      </c:pivotFmt>
      <c:pivotFmt>
        <c:idx val="41"/>
        <c:spPr>
          <a:solidFill>
            <a:schemeClr val="bg1">
              <a:lumMod val="85000"/>
            </a:schemeClr>
          </a:solidFill>
          <a:ln>
            <a:noFill/>
          </a:ln>
          <a:effectLst/>
        </c:spPr>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4DBE-4BF5-B4B8-6B025D391CF6}"/>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B-4DBE-4BF5-B4B8-6B025D391CF6}"/>
              </c:ext>
            </c:extLst>
          </c:dPt>
          <c:dPt>
            <c:idx val="2"/>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D-4DBE-4BF5-B4B8-6B025D391CF6}"/>
              </c:ext>
            </c:extLst>
          </c:dPt>
          <c:dPt>
            <c:idx val="3"/>
            <c:invertIfNegative val="0"/>
            <c:bubble3D val="0"/>
            <c:spPr>
              <a:solidFill>
                <a:srgbClr val="FFC000"/>
              </a:solidFill>
              <a:ln>
                <a:noFill/>
              </a:ln>
              <a:effectLst/>
            </c:spPr>
            <c:extLst>
              <c:ext xmlns:c16="http://schemas.microsoft.com/office/drawing/2014/chart" uri="{C3380CC4-5D6E-409C-BE32-E72D297353CC}">
                <c16:uniqueId val="{0000000F-4DBE-4BF5-B4B8-6B025D391CF6}"/>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11-4DBE-4BF5-B4B8-6B025D391CF6}"/>
              </c:ext>
            </c:extLst>
          </c:dPt>
          <c:dPt>
            <c:idx val="5"/>
            <c:invertIfNegative val="0"/>
            <c:bubble3D val="0"/>
            <c:spPr>
              <a:solidFill>
                <a:schemeClr val="bg1">
                  <a:lumMod val="85000"/>
                </a:schemeClr>
              </a:solidFill>
              <a:ln>
                <a:noFill/>
              </a:ln>
              <a:effectLst/>
            </c:spPr>
            <c:extLst>
              <c:ext xmlns:c16="http://schemas.microsoft.com/office/drawing/2014/chart" uri="{C3380CC4-5D6E-409C-BE32-E72D297353CC}">
                <c16:uniqueId val="{00000013-4DBE-4BF5-B4B8-6B025D391CF6}"/>
              </c:ext>
            </c:extLst>
          </c:dPt>
          <c:cat>
            <c:strRef>
              <c:f>Pivot!$A$10:$A$16</c:f>
              <c:strCache>
                <c:ptCount val="6"/>
                <c:pt idx="0">
                  <c:v>Aventador</c:v>
                </c:pt>
                <c:pt idx="1">
                  <c:v>HuracÃ¡n</c:v>
                </c:pt>
                <c:pt idx="2">
                  <c:v>HuracÃ¡n (Temerario)</c:v>
                </c:pt>
                <c:pt idx="3">
                  <c:v>Revuelto</c:v>
                </c:pt>
                <c:pt idx="4">
                  <c:v>Urus</c:v>
                </c:pt>
                <c:pt idx="5">
                  <c:v>Urus SE</c:v>
                </c:pt>
              </c:strCache>
            </c:strRef>
          </c:cat>
          <c:val>
            <c:numRef>
              <c:f>Pivot!$B$10:$B$16</c:f>
              <c:numCache>
                <c:formatCode>General</c:formatCode>
                <c:ptCount val="6"/>
                <c:pt idx="0">
                  <c:v>5970</c:v>
                </c:pt>
                <c:pt idx="1">
                  <c:v>41481</c:v>
                </c:pt>
                <c:pt idx="2">
                  <c:v>3850</c:v>
                </c:pt>
                <c:pt idx="3">
                  <c:v>8956</c:v>
                </c:pt>
                <c:pt idx="4">
                  <c:v>54305</c:v>
                </c:pt>
                <c:pt idx="5">
                  <c:v>26812</c:v>
                </c:pt>
              </c:numCache>
            </c:numRef>
          </c:val>
          <c:extLst>
            <c:ext xmlns:c16="http://schemas.microsoft.com/office/drawing/2014/chart" uri="{C3380CC4-5D6E-409C-BE32-E72D297353CC}">
              <c16:uniqueId val="{00000014-4DBE-4BF5-B4B8-6B025D391CF6}"/>
            </c:ext>
          </c:extLst>
        </c:ser>
        <c:dLbls>
          <c:showLegendKey val="0"/>
          <c:showVal val="0"/>
          <c:showCatName val="0"/>
          <c:showSerName val="0"/>
          <c:showPercent val="0"/>
          <c:showBubbleSize val="0"/>
        </c:dLbls>
        <c:gapWidth val="10"/>
        <c:overlap val="-27"/>
        <c:axId val="1981389775"/>
        <c:axId val="1981392655"/>
      </c:barChart>
      <c:catAx>
        <c:axId val="1981389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981392655"/>
        <c:crosses val="autoZero"/>
        <c:auto val="1"/>
        <c:lblAlgn val="ctr"/>
        <c:lblOffset val="100"/>
        <c:noMultiLvlLbl val="0"/>
      </c:catAx>
      <c:valAx>
        <c:axId val="1981392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981389775"/>
        <c:crosses val="autoZero"/>
        <c:crossBetween val="between"/>
      </c:valAx>
    </c:plotArea>
    <c:plotVisOnly val="1"/>
    <c:dispBlanksAs val="gap"/>
    <c:showDLblsOverMax val="0"/>
    <c:extLst/>
  </c:chart>
  <c:spPr>
    <a:noFill/>
    <a:ln w="9525" cap="flat" cmpd="sng" algn="ctr">
      <a:noFill/>
      <a:round/>
    </a:ln>
    <a:effectLst/>
  </c:spPr>
  <c:txPr>
    <a:bodyPr/>
    <a:lstStyle/>
    <a:p>
      <a:pPr>
        <a:defRPr sz="5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[Lamborghini_Sales_Dashboard.xlsx]Pivot!Regional Sales Analysis</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25000"/>
              <a:lumOff val="75000"/>
            </a:schemeClr>
          </a:solidFill>
          <a:ln w="19050">
            <a:solidFill>
              <a:schemeClr val="lt1"/>
            </a:solidFill>
          </a:ln>
          <a:effectLst/>
        </c:spPr>
      </c:pivotFmt>
      <c:pivotFmt>
        <c:idx val="10"/>
        <c:spPr>
          <a:solidFill>
            <a:schemeClr val="accent2">
              <a:lumMod val="75000"/>
            </a:schemeClr>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s>
    <c:plotArea>
      <c:layout/>
      <c:doughnutChart>
        <c:varyColors val="1"/>
        <c:ser>
          <c:idx val="0"/>
          <c:order val="0"/>
          <c:tx>
            <c:strRef>
              <c:f>Pivot!$G$9</c:f>
              <c:strCache>
                <c:ptCount val="1"/>
                <c:pt idx="0">
                  <c:v>Total</c:v>
                </c:pt>
              </c:strCache>
            </c:strRef>
          </c:tx>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BD82-465B-9BC1-E5DC3F2B7710}"/>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BD82-465B-9BC1-E5DC3F2B771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D82-465B-9BC1-E5DC3F2B7710}"/>
              </c:ext>
            </c:extLst>
          </c:dPt>
          <c:cat>
            <c:strRef>
              <c:f>Pivot!$F$10:$F$13</c:f>
              <c:strCache>
                <c:ptCount val="3"/>
                <c:pt idx="0">
                  <c:v>Americas</c:v>
                </c:pt>
                <c:pt idx="1">
                  <c:v>APAC</c:v>
                </c:pt>
                <c:pt idx="2">
                  <c:v>EMEA</c:v>
                </c:pt>
              </c:strCache>
            </c:strRef>
          </c:cat>
          <c:val>
            <c:numRef>
              <c:f>Pivot!$G$10:$G$13</c:f>
              <c:numCache>
                <c:formatCode>General</c:formatCode>
                <c:ptCount val="3"/>
                <c:pt idx="0">
                  <c:v>55663</c:v>
                </c:pt>
                <c:pt idx="1">
                  <c:v>32043</c:v>
                </c:pt>
                <c:pt idx="2">
                  <c:v>53668</c:v>
                </c:pt>
              </c:numCache>
            </c:numRef>
          </c:val>
          <c:extLst>
            <c:ext xmlns:c16="http://schemas.microsoft.com/office/drawing/2014/chart" uri="{C3380CC4-5D6E-409C-BE32-E72D297353CC}">
              <c16:uniqueId val="{00000006-BD82-465B-9BC1-E5DC3F2B7710}"/>
            </c:ext>
          </c:extLst>
        </c:ser>
        <c:dLbls>
          <c:showLegendKey val="0"/>
          <c:showVal val="0"/>
          <c:showCatName val="0"/>
          <c:showSerName val="0"/>
          <c:showPercent val="0"/>
          <c:showBubbleSize val="0"/>
          <c:showLeaderLines val="1"/>
        </c:dLbls>
        <c:firstSliceAng val="0"/>
        <c:holeSize val="72"/>
      </c:doughnutChart>
      <c:spPr>
        <a:noFill/>
        <a:ln>
          <a:noFill/>
        </a:ln>
        <a:effectLst/>
      </c:spPr>
    </c:plotArea>
    <c:legend>
      <c:legendPos val="b"/>
      <c:layout>
        <c:manualLayout>
          <c:xMode val="edge"/>
          <c:yMode val="edge"/>
          <c:x val="0.25111162575266321"/>
          <c:y val="0.84245370967973265"/>
          <c:w val="0.49777674849467352"/>
          <c:h val="8.0298641426298403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[Lamborghini_Sales_Dashboard.xlsx]Pivot!Yearly Sales Trend</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pivotFmt>
      <c:pivotFmt>
        <c:idx val="2"/>
        <c:spPr>
          <a:solidFill>
            <a:schemeClr val="bg2">
              <a:lumMod val="90000"/>
            </a:schemeClr>
          </a:solidFill>
          <a:ln>
            <a:noFill/>
          </a:ln>
          <a:effectLst/>
        </c:spPr>
      </c:pivotFmt>
      <c:pivotFmt>
        <c:idx val="3"/>
        <c:spPr>
          <a:solidFill>
            <a:srgbClr val="FFC000"/>
          </a:solidFill>
          <a:ln>
            <a:noFill/>
          </a:ln>
          <a:effectLst/>
        </c:spPr>
      </c:pivotFmt>
      <c:pivotFmt>
        <c:idx val="4"/>
        <c:spPr>
          <a:solidFill>
            <a:schemeClr val="accent2">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95000"/>
              <a:lumOff val="5000"/>
            </a:schemeClr>
          </a:solidFill>
          <a:ln>
            <a:noFill/>
          </a:ln>
          <a:effectLst/>
        </c:spPr>
      </c:pivotFmt>
      <c:pivotFmt>
        <c:idx val="8"/>
        <c:spPr>
          <a:solidFill>
            <a:schemeClr val="bg2">
              <a:lumMod val="90000"/>
            </a:schemeClr>
          </a:solidFill>
          <a:ln>
            <a:noFill/>
          </a:ln>
          <a:effectLst/>
        </c:spPr>
      </c:pivotFmt>
      <c:pivotFmt>
        <c:idx val="9"/>
        <c:spPr>
          <a:solidFill>
            <a:srgbClr val="FFC000"/>
          </a:solidFill>
          <a:ln>
            <a:noFill/>
          </a:ln>
          <a:effectLst/>
        </c:spPr>
      </c:pivotFmt>
      <c:pivotFmt>
        <c:idx val="10"/>
        <c:spPr>
          <a:solidFill>
            <a:schemeClr val="accent2">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95000"/>
              <a:lumOff val="5000"/>
            </a:schemeClr>
          </a:solidFill>
          <a:ln>
            <a:noFill/>
          </a:ln>
          <a:effectLst/>
        </c:spPr>
      </c:pivotFmt>
      <c:pivotFmt>
        <c:idx val="14"/>
        <c:spPr>
          <a:solidFill>
            <a:schemeClr val="bg2">
              <a:lumMod val="90000"/>
            </a:schemeClr>
          </a:solidFill>
          <a:ln>
            <a:noFill/>
          </a:ln>
          <a:effectLst/>
        </c:spPr>
      </c:pivotFmt>
      <c:pivotFmt>
        <c:idx val="15"/>
        <c:spPr>
          <a:solidFill>
            <a:srgbClr val="FFC000"/>
          </a:solidFill>
          <a:ln>
            <a:noFill/>
          </a:ln>
          <a:effectLst/>
        </c:spPr>
      </c:pivotFmt>
      <c:pivotFmt>
        <c:idx val="16"/>
        <c:spPr>
          <a:solidFill>
            <a:schemeClr val="accent2">
              <a:lumMod val="75000"/>
            </a:schemeClr>
          </a:solidFill>
          <a:ln>
            <a:noFill/>
          </a:ln>
          <a:effectLst/>
        </c:spPr>
      </c:pivotFmt>
      <c:pivotFmt>
        <c:idx val="17"/>
        <c:spPr>
          <a:solidFill>
            <a:schemeClr val="accent6">
              <a:lumMod val="75000"/>
            </a:schemeClr>
          </a:solidFill>
          <a:ln>
            <a:noFill/>
          </a:ln>
          <a:effectLst/>
        </c:spPr>
      </c:pivotFmt>
      <c:pivotFmt>
        <c:idx val="18"/>
        <c:spPr>
          <a:solidFill>
            <a:schemeClr val="tx2">
              <a:lumMod val="25000"/>
              <a:lumOff val="75000"/>
            </a:schemeClr>
          </a:solidFill>
          <a:ln>
            <a:noFill/>
          </a:ln>
          <a:effectLst/>
        </c:spPr>
      </c:pivotFmt>
    </c:pivotFmts>
    <c:plotArea>
      <c:layout/>
      <c:barChart>
        <c:barDir val="bar"/>
        <c:grouping val="clustered"/>
        <c:varyColors val="0"/>
        <c:ser>
          <c:idx val="0"/>
          <c:order val="0"/>
          <c:tx>
            <c:strRef>
              <c:f>Pivot!$K$9</c:f>
              <c:strCache>
                <c:ptCount val="1"/>
                <c:pt idx="0">
                  <c:v>Total</c:v>
                </c:pt>
              </c:strCache>
            </c:strRef>
          </c:tx>
          <c:spPr>
            <a:solidFill>
              <a:schemeClr val="accent1"/>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1-C78B-4A04-9293-5EF5116ABD1E}"/>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3-C78B-4A04-9293-5EF5116ABD1E}"/>
              </c:ext>
            </c:extLst>
          </c:dPt>
          <c:dPt>
            <c:idx val="2"/>
            <c:invertIfNegative val="0"/>
            <c:bubble3D val="0"/>
            <c:spPr>
              <a:solidFill>
                <a:srgbClr val="FFC000"/>
              </a:solidFill>
              <a:ln>
                <a:noFill/>
              </a:ln>
              <a:effectLst/>
            </c:spPr>
            <c:extLst>
              <c:ext xmlns:c16="http://schemas.microsoft.com/office/drawing/2014/chart" uri="{C3380CC4-5D6E-409C-BE32-E72D297353CC}">
                <c16:uniqueId val="{00000005-C78B-4A04-9293-5EF5116ABD1E}"/>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C78B-4A04-9293-5EF5116ABD1E}"/>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9-C78B-4A04-9293-5EF5116ABD1E}"/>
              </c:ext>
            </c:extLst>
          </c:dPt>
          <c:dPt>
            <c:idx val="5"/>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A-7AA3-4E11-A9CB-297A0A25A6B8}"/>
              </c:ext>
            </c:extLst>
          </c:dPt>
          <c:cat>
            <c:strRef>
              <c:f>Pivot!$J$10:$J$16</c:f>
              <c:strCache>
                <c:ptCount val="6"/>
                <c:pt idx="0">
                  <c:v>2020</c:v>
                </c:pt>
                <c:pt idx="1">
                  <c:v>2021</c:v>
                </c:pt>
                <c:pt idx="2">
                  <c:v>2022</c:v>
                </c:pt>
                <c:pt idx="3">
                  <c:v>2023</c:v>
                </c:pt>
                <c:pt idx="4">
                  <c:v>2024</c:v>
                </c:pt>
                <c:pt idx="5">
                  <c:v>2025</c:v>
                </c:pt>
              </c:strCache>
            </c:strRef>
          </c:cat>
          <c:val>
            <c:numRef>
              <c:f>Pivot!$K$10:$K$16</c:f>
              <c:numCache>
                <c:formatCode>General</c:formatCode>
                <c:ptCount val="6"/>
                <c:pt idx="0">
                  <c:v>20250</c:v>
                </c:pt>
                <c:pt idx="1">
                  <c:v>21925</c:v>
                </c:pt>
                <c:pt idx="2">
                  <c:v>24243</c:v>
                </c:pt>
                <c:pt idx="3">
                  <c:v>25838</c:v>
                </c:pt>
                <c:pt idx="4">
                  <c:v>27918</c:v>
                </c:pt>
                <c:pt idx="5">
                  <c:v>21200</c:v>
                </c:pt>
              </c:numCache>
            </c:numRef>
          </c:val>
          <c:extLst>
            <c:ext xmlns:c16="http://schemas.microsoft.com/office/drawing/2014/chart" uri="{C3380CC4-5D6E-409C-BE32-E72D297353CC}">
              <c16:uniqueId val="{0000000A-C78B-4A04-9293-5EF5116ABD1E}"/>
            </c:ext>
          </c:extLst>
        </c:ser>
        <c:dLbls>
          <c:showLegendKey val="0"/>
          <c:showVal val="0"/>
          <c:showCatName val="0"/>
          <c:showSerName val="0"/>
          <c:showPercent val="0"/>
          <c:showBubbleSize val="0"/>
        </c:dLbls>
        <c:gapWidth val="10"/>
        <c:axId val="636897248"/>
        <c:axId val="636905408"/>
      </c:barChart>
      <c:catAx>
        <c:axId val="63689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36905408"/>
        <c:crosses val="autoZero"/>
        <c:auto val="1"/>
        <c:lblAlgn val="ctr"/>
        <c:lblOffset val="100"/>
        <c:noMultiLvlLbl val="0"/>
      </c:catAx>
      <c:valAx>
        <c:axId val="63690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3689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[Lamborghini_Sales_Dashboard.xlsx]Pivot!Most Popular Color</c:name>
    <c:fmtId val="2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Pivot!$H$117</c:f>
              <c:strCache>
                <c:ptCount val="1"/>
                <c:pt idx="0">
                  <c:v>Total</c:v>
                </c:pt>
              </c:strCache>
            </c:strRef>
          </c:tx>
          <c:spPr>
            <a:ln w="3175" cap="rnd">
              <a:solidFill>
                <a:srgbClr val="FFC000"/>
              </a:solidFill>
              <a:round/>
            </a:ln>
            <a:effectLst/>
          </c:spPr>
          <c:marker>
            <c:symbol val="none"/>
          </c:marker>
          <c:cat>
            <c:strRef>
              <c:f>Pivot!$G$118:$G$127</c:f>
              <c:strCache>
                <c:ptCount val="9"/>
                <c:pt idx="0">
                  <c:v>Black</c:v>
                </c:pt>
                <c:pt idx="1">
                  <c:v>Blue</c:v>
                </c:pt>
                <c:pt idx="2">
                  <c:v>Green</c:v>
                </c:pt>
                <c:pt idx="3">
                  <c:v>Grey</c:v>
                </c:pt>
                <c:pt idx="4">
                  <c:v>Orange</c:v>
                </c:pt>
                <c:pt idx="5">
                  <c:v>Red</c:v>
                </c:pt>
                <c:pt idx="6">
                  <c:v>Silver</c:v>
                </c:pt>
                <c:pt idx="7">
                  <c:v>White</c:v>
                </c:pt>
                <c:pt idx="8">
                  <c:v>Yellow</c:v>
                </c:pt>
              </c:strCache>
            </c:strRef>
          </c:cat>
          <c:val>
            <c:numRef>
              <c:f>Pivot!$H$118:$H$127</c:f>
              <c:numCache>
                <c:formatCode>General</c:formatCode>
                <c:ptCount val="9"/>
                <c:pt idx="0">
                  <c:v>44900</c:v>
                </c:pt>
                <c:pt idx="1">
                  <c:v>3206</c:v>
                </c:pt>
                <c:pt idx="2">
                  <c:v>900</c:v>
                </c:pt>
                <c:pt idx="3">
                  <c:v>1300</c:v>
                </c:pt>
                <c:pt idx="4">
                  <c:v>17700</c:v>
                </c:pt>
                <c:pt idx="5">
                  <c:v>15093</c:v>
                </c:pt>
                <c:pt idx="6">
                  <c:v>13571</c:v>
                </c:pt>
                <c:pt idx="7">
                  <c:v>28943</c:v>
                </c:pt>
                <c:pt idx="8">
                  <c:v>15761</c:v>
                </c:pt>
              </c:numCache>
            </c:numRef>
          </c:val>
          <c:smooth val="1"/>
          <c:extLst>
            <c:ext xmlns:c16="http://schemas.microsoft.com/office/drawing/2014/chart" uri="{C3380CC4-5D6E-409C-BE32-E72D297353CC}">
              <c16:uniqueId val="{00000000-C1CA-4F3F-A12A-3D77BD16E17E}"/>
            </c:ext>
          </c:extLst>
        </c:ser>
        <c:dLbls>
          <c:showLegendKey val="0"/>
          <c:showVal val="0"/>
          <c:showCatName val="0"/>
          <c:showSerName val="0"/>
          <c:showPercent val="0"/>
          <c:showBubbleSize val="0"/>
        </c:dLbls>
        <c:smooth val="0"/>
        <c:axId val="348301024"/>
        <c:axId val="348306304"/>
      </c:lineChart>
      <c:catAx>
        <c:axId val="34830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348306304"/>
        <c:crosses val="autoZero"/>
        <c:auto val="1"/>
        <c:lblAlgn val="ctr"/>
        <c:lblOffset val="100"/>
        <c:noMultiLvlLbl val="0"/>
      </c:catAx>
      <c:valAx>
        <c:axId val="34830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3483010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[Lamborghini_Sales_Dashboard.xlsx]Pivot!Price Distribution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25000"/>
                  <a:lumOff val="75000"/>
                  <a:shade val="30000"/>
                  <a:satMod val="115000"/>
                </a:schemeClr>
              </a:gs>
              <a:gs pos="50000">
                <a:schemeClr val="tx2">
                  <a:lumMod val="25000"/>
                  <a:lumOff val="75000"/>
                  <a:shade val="67500"/>
                  <a:satMod val="115000"/>
                  <a:alpha val="78000"/>
                </a:schemeClr>
              </a:gs>
              <a:gs pos="100000">
                <a:schemeClr val="tx2">
                  <a:lumMod val="25000"/>
                  <a:lumOff val="75000"/>
                  <a:shade val="100000"/>
                  <a:satMod val="115000"/>
                  <a:alpha val="0"/>
                </a:schemeClr>
              </a:gs>
            </a:gsLst>
            <a:lin ang="54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Pivot!$B$37</c:f>
              <c:strCache>
                <c:ptCount val="1"/>
                <c:pt idx="0">
                  <c:v>Total</c:v>
                </c:pt>
              </c:strCache>
            </c:strRef>
          </c:tx>
          <c:spPr>
            <a:gradFill flip="none" rotWithShape="1">
              <a:gsLst>
                <a:gs pos="0">
                  <a:schemeClr val="tx2">
                    <a:lumMod val="25000"/>
                    <a:lumOff val="75000"/>
                    <a:shade val="30000"/>
                    <a:satMod val="115000"/>
                  </a:schemeClr>
                </a:gs>
                <a:gs pos="50000">
                  <a:schemeClr val="tx2">
                    <a:lumMod val="25000"/>
                    <a:lumOff val="75000"/>
                    <a:shade val="67500"/>
                    <a:satMod val="115000"/>
                    <a:alpha val="78000"/>
                  </a:schemeClr>
                </a:gs>
                <a:gs pos="100000">
                  <a:schemeClr val="tx2">
                    <a:lumMod val="25000"/>
                    <a:lumOff val="75000"/>
                    <a:shade val="100000"/>
                    <a:satMod val="115000"/>
                    <a:alpha val="0"/>
                  </a:schemeClr>
                </a:gs>
              </a:gsLst>
              <a:lin ang="5400000" scaled="1"/>
              <a:tileRect/>
            </a:gradFill>
            <a:ln>
              <a:noFill/>
            </a:ln>
            <a:effectLst/>
          </c:spPr>
          <c:dLbls>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Pivot!$A$38:$A$41</c:f>
              <c:strCache>
                <c:ptCount val="3"/>
                <c:pt idx="0">
                  <c:v>High Price</c:v>
                </c:pt>
                <c:pt idx="1">
                  <c:v>Medium Price</c:v>
                </c:pt>
                <c:pt idx="2">
                  <c:v>Low Price</c:v>
                </c:pt>
              </c:strCache>
            </c:strRef>
          </c:cat>
          <c:val>
            <c:numRef>
              <c:f>Pivot!$B$38:$B$41</c:f>
              <c:numCache>
                <c:formatCode>"$"#,##0</c:formatCode>
                <c:ptCount val="3"/>
                <c:pt idx="0">
                  <c:v>8520000</c:v>
                </c:pt>
                <c:pt idx="1">
                  <c:v>2685000</c:v>
                </c:pt>
                <c:pt idx="2">
                  <c:v>9030000</c:v>
                </c:pt>
              </c:numCache>
            </c:numRef>
          </c:val>
          <c:extLst>
            <c:ext xmlns:c16="http://schemas.microsoft.com/office/drawing/2014/chart" uri="{C3380CC4-5D6E-409C-BE32-E72D297353CC}">
              <c16:uniqueId val="{00000000-83D2-4710-B91B-E6CC3233956D}"/>
            </c:ext>
          </c:extLst>
        </c:ser>
        <c:dLbls>
          <c:showLegendKey val="0"/>
          <c:showVal val="0"/>
          <c:showCatName val="0"/>
          <c:showSerName val="0"/>
          <c:showPercent val="0"/>
          <c:showBubbleSize val="0"/>
        </c:dLbls>
        <c:axId val="1981136815"/>
        <c:axId val="1981137775"/>
      </c:areaChart>
      <c:catAx>
        <c:axId val="1981136815"/>
        <c:scaling>
          <c:orientation val="minMax"/>
        </c:scaling>
        <c:delete val="1"/>
        <c:axPos val="b"/>
        <c:numFmt formatCode="General" sourceLinked="1"/>
        <c:majorTickMark val="out"/>
        <c:minorTickMark val="none"/>
        <c:tickLblPos val="nextTo"/>
        <c:crossAx val="1981137775"/>
        <c:crosses val="autoZero"/>
        <c:auto val="1"/>
        <c:lblAlgn val="ctr"/>
        <c:lblOffset val="100"/>
        <c:noMultiLvlLbl val="0"/>
      </c:catAx>
      <c:valAx>
        <c:axId val="1981137775"/>
        <c:scaling>
          <c:orientation val="minMax"/>
        </c:scaling>
        <c:delete val="1"/>
        <c:axPos val="l"/>
        <c:numFmt formatCode="&quot;$&quot;#,##0" sourceLinked="1"/>
        <c:majorTickMark val="out"/>
        <c:minorTickMark val="none"/>
        <c:tickLblPos val="nextTo"/>
        <c:crossAx val="198113681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[Lamborghini_Sales_Dashboard.xlsx]Pivot!Fuel Type Analysis</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chemeClr val="tx2">
              <a:lumMod val="25000"/>
              <a:lumOff val="75000"/>
            </a:schemeClr>
          </a:solidFill>
          <a:ln>
            <a:noFill/>
          </a:ln>
          <a:effectLst/>
        </c:spPr>
      </c:pivotFmt>
    </c:pivotFmts>
    <c:plotArea>
      <c:layout/>
      <c:barChart>
        <c:barDir val="col"/>
        <c:grouping val="clustered"/>
        <c:varyColors val="0"/>
        <c:ser>
          <c:idx val="0"/>
          <c:order val="0"/>
          <c:tx>
            <c:strRef>
              <c:f>Pivot!$B$90</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86B0-4B90-AD04-BE5CE95B3BDA}"/>
              </c:ext>
            </c:extLst>
          </c:dPt>
          <c:dPt>
            <c:idx val="1"/>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2-30B7-47A0-980C-0D3BE02C4B45}"/>
              </c:ext>
            </c:extLst>
          </c:dPt>
          <c:cat>
            <c:strRef>
              <c:f>Pivot!$A$91:$A$93</c:f>
              <c:strCache>
                <c:ptCount val="2"/>
                <c:pt idx="0">
                  <c:v>Gasoline</c:v>
                </c:pt>
                <c:pt idx="1">
                  <c:v>Hybrid</c:v>
                </c:pt>
              </c:strCache>
            </c:strRef>
          </c:cat>
          <c:val>
            <c:numRef>
              <c:f>Pivot!$B$91:$B$93</c:f>
              <c:numCache>
                <c:formatCode>General</c:formatCode>
                <c:ptCount val="2"/>
                <c:pt idx="0">
                  <c:v>101756</c:v>
                </c:pt>
                <c:pt idx="1">
                  <c:v>39618</c:v>
                </c:pt>
              </c:numCache>
            </c:numRef>
          </c:val>
          <c:extLst>
            <c:ext xmlns:c16="http://schemas.microsoft.com/office/drawing/2014/chart" uri="{C3380CC4-5D6E-409C-BE32-E72D297353CC}">
              <c16:uniqueId val="{00000002-86B0-4B90-AD04-BE5CE95B3BDA}"/>
            </c:ext>
          </c:extLst>
        </c:ser>
        <c:dLbls>
          <c:showLegendKey val="0"/>
          <c:showVal val="0"/>
          <c:showCatName val="0"/>
          <c:showSerName val="0"/>
          <c:showPercent val="0"/>
          <c:showBubbleSize val="0"/>
        </c:dLbls>
        <c:gapWidth val="10"/>
        <c:axId val="1981271695"/>
        <c:axId val="1981261135"/>
      </c:barChart>
      <c:catAx>
        <c:axId val="198127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981261135"/>
        <c:crosses val="autoZero"/>
        <c:auto val="1"/>
        <c:lblAlgn val="ctr"/>
        <c:lblOffset val="100"/>
        <c:noMultiLvlLbl val="0"/>
      </c:catAx>
      <c:valAx>
        <c:axId val="1981261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98127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[Lamborghini_Sales_Dashboard.xlsx]Pivot!Revenue by Region</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bg1">
              <a:lumMod val="65000"/>
            </a:schemeClr>
          </a:solidFill>
          <a:ln>
            <a:noFill/>
          </a:ln>
          <a:effectLst/>
        </c:spP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8600" cap="flat">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228600" cap="flat">
            <a:solidFill>
              <a:schemeClr val="accent6">
                <a:lumMod val="75000"/>
              </a:schemeClr>
            </a:solidFill>
            <a:round/>
          </a:ln>
          <a:effectLst/>
        </c:spPr>
      </c:pivotFmt>
      <c:pivotFmt>
        <c:idx val="7"/>
        <c:spPr>
          <a:solidFill>
            <a:schemeClr val="accent2">
              <a:lumMod val="75000"/>
            </a:schemeClr>
          </a:solidFill>
          <a:ln w="228600" cap="flat">
            <a:solidFill>
              <a:schemeClr val="accent2">
                <a:lumMod val="75000"/>
              </a:schemeClr>
            </a:solidFill>
            <a:round/>
          </a:ln>
          <a:effectLst/>
        </c:spPr>
      </c:pivotFmt>
      <c:pivotFmt>
        <c:idx val="8"/>
        <c:spPr>
          <a:solidFill>
            <a:schemeClr val="tx2">
              <a:lumMod val="25000"/>
              <a:lumOff val="75000"/>
            </a:schemeClr>
          </a:solidFill>
          <a:ln w="228600" cap="flat">
            <a:solidFill>
              <a:schemeClr val="tx2">
                <a:lumMod val="25000"/>
                <a:lumOff val="75000"/>
              </a:schemeClr>
            </a:solidFill>
            <a:round/>
          </a:ln>
          <a:effectLst/>
        </c:spPr>
      </c:pivotFmt>
    </c:pivotFmts>
    <c:plotArea>
      <c:layout/>
      <c:barChart>
        <c:barDir val="bar"/>
        <c:grouping val="clustered"/>
        <c:varyColors val="0"/>
        <c:ser>
          <c:idx val="0"/>
          <c:order val="0"/>
          <c:tx>
            <c:strRef>
              <c:f>Pivot!$Q$38</c:f>
              <c:strCache>
                <c:ptCount val="1"/>
                <c:pt idx="0">
                  <c:v>Total</c:v>
                </c:pt>
              </c:strCache>
            </c:strRef>
          </c:tx>
          <c:spPr>
            <a:solidFill>
              <a:schemeClr val="accent1"/>
            </a:solidFill>
            <a:ln w="228600" cap="flat">
              <a:solidFill>
                <a:schemeClr val="accent1">
                  <a:lumMod val="60000"/>
                  <a:lumOff val="40000"/>
                </a:schemeClr>
              </a:solidFill>
              <a:round/>
            </a:ln>
            <a:effectLst/>
          </c:spPr>
          <c:invertIfNegative val="0"/>
          <c:dPt>
            <c:idx val="0"/>
            <c:invertIfNegative val="0"/>
            <c:bubble3D val="0"/>
            <c:spPr>
              <a:solidFill>
                <a:schemeClr val="tx2">
                  <a:lumMod val="25000"/>
                  <a:lumOff val="75000"/>
                </a:schemeClr>
              </a:solidFill>
              <a:ln w="228600" cap="flat">
                <a:solidFill>
                  <a:schemeClr val="tx2">
                    <a:lumMod val="25000"/>
                    <a:lumOff val="75000"/>
                  </a:schemeClr>
                </a:solidFill>
                <a:round/>
              </a:ln>
              <a:effectLst/>
            </c:spPr>
            <c:extLst>
              <c:ext xmlns:c16="http://schemas.microsoft.com/office/drawing/2014/chart" uri="{C3380CC4-5D6E-409C-BE32-E72D297353CC}">
                <c16:uniqueId val="{00000000-D3ED-48FB-95EC-48DAEB00AFCE}"/>
              </c:ext>
            </c:extLst>
          </c:dPt>
          <c:dPt>
            <c:idx val="1"/>
            <c:invertIfNegative val="0"/>
            <c:bubble3D val="0"/>
            <c:spPr>
              <a:solidFill>
                <a:schemeClr val="accent2">
                  <a:lumMod val="75000"/>
                </a:schemeClr>
              </a:solidFill>
              <a:ln w="228600" cap="flat">
                <a:solidFill>
                  <a:schemeClr val="accent2">
                    <a:lumMod val="75000"/>
                  </a:schemeClr>
                </a:solidFill>
                <a:round/>
              </a:ln>
              <a:effectLst/>
            </c:spPr>
            <c:extLst>
              <c:ext xmlns:c16="http://schemas.microsoft.com/office/drawing/2014/chart" uri="{C3380CC4-5D6E-409C-BE32-E72D297353CC}">
                <c16:uniqueId val="{00000001-D3ED-48FB-95EC-48DAEB00AFCE}"/>
              </c:ext>
            </c:extLst>
          </c:dPt>
          <c:dPt>
            <c:idx val="2"/>
            <c:invertIfNegative val="0"/>
            <c:bubble3D val="0"/>
            <c:spPr>
              <a:solidFill>
                <a:schemeClr val="accent6">
                  <a:lumMod val="75000"/>
                </a:schemeClr>
              </a:solidFill>
              <a:ln w="228600" cap="flat">
                <a:solidFill>
                  <a:schemeClr val="accent6">
                    <a:lumMod val="75000"/>
                  </a:schemeClr>
                </a:solidFill>
                <a:round/>
              </a:ln>
              <a:effectLst/>
            </c:spPr>
            <c:extLst>
              <c:ext xmlns:c16="http://schemas.microsoft.com/office/drawing/2014/chart" uri="{C3380CC4-5D6E-409C-BE32-E72D297353CC}">
                <c16:uniqueId val="{00000003-D3ED-48FB-95EC-48DAEB00AFCE}"/>
              </c:ext>
            </c:extLst>
          </c:dPt>
          <c:cat>
            <c:strRef>
              <c:f>Pivot!$P$39:$P$42</c:f>
              <c:strCache>
                <c:ptCount val="3"/>
                <c:pt idx="0">
                  <c:v>Americas</c:v>
                </c:pt>
                <c:pt idx="1">
                  <c:v>APAC</c:v>
                </c:pt>
                <c:pt idx="2">
                  <c:v>EMEA</c:v>
                </c:pt>
              </c:strCache>
            </c:strRef>
          </c:cat>
          <c:val>
            <c:numRef>
              <c:f>Pivot!$Q$39:$Q$42</c:f>
              <c:numCache>
                <c:formatCode>"$"#,##0</c:formatCode>
                <c:ptCount val="3"/>
                <c:pt idx="0">
                  <c:v>17224970000</c:v>
                </c:pt>
                <c:pt idx="1">
                  <c:v>10002955000</c:v>
                </c:pt>
                <c:pt idx="2">
                  <c:v>15961655000</c:v>
                </c:pt>
              </c:numCache>
            </c:numRef>
          </c:val>
          <c:extLst>
            <c:ext xmlns:c16="http://schemas.microsoft.com/office/drawing/2014/chart" uri="{C3380CC4-5D6E-409C-BE32-E72D297353CC}">
              <c16:uniqueId val="{00000002-D3ED-48FB-95EC-48DAEB00AFCE}"/>
            </c:ext>
          </c:extLst>
        </c:ser>
        <c:dLbls>
          <c:showLegendKey val="0"/>
          <c:showVal val="0"/>
          <c:showCatName val="0"/>
          <c:showSerName val="0"/>
          <c:showPercent val="0"/>
          <c:showBubbleSize val="0"/>
        </c:dLbls>
        <c:gapWidth val="500"/>
        <c:axId val="636910688"/>
        <c:axId val="636926528"/>
      </c:barChart>
      <c:catAx>
        <c:axId val="63691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36926528"/>
        <c:crosses val="autoZero"/>
        <c:auto val="1"/>
        <c:lblAlgn val="ctr"/>
        <c:lblOffset val="100"/>
        <c:noMultiLvlLbl val="0"/>
      </c:catAx>
      <c:valAx>
        <c:axId val="636926528"/>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3691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9.xml"/><Relationship Id="rId2" Type="http://schemas.openxmlformats.org/officeDocument/2006/relationships/image" Target="../media/image2.svg"/><Relationship Id="rId16" Type="http://schemas.openxmlformats.org/officeDocument/2006/relationships/chart" Target="../charts/chart18.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7.xml"/><Relationship Id="rId10" Type="http://schemas.openxmlformats.org/officeDocument/2006/relationships/image" Target="../media/image10.svg"/><Relationship Id="rId19" Type="http://schemas.openxmlformats.org/officeDocument/2006/relationships/chart" Target="../charts/chart2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4762</xdr:rowOff>
    </xdr:from>
    <xdr:to>
      <xdr:col>4</xdr:col>
      <xdr:colOff>9525</xdr:colOff>
      <xdr:row>31</xdr:row>
      <xdr:rowOff>80962</xdr:rowOff>
    </xdr:to>
    <xdr:graphicFrame macro="">
      <xdr:nvGraphicFramePr>
        <xdr:cNvPr id="2" name="Model Distribution">
          <a:extLst>
            <a:ext uri="{FF2B5EF4-FFF2-40B4-BE49-F238E27FC236}">
              <a16:creationId xmlns:a16="http://schemas.microsoft.com/office/drawing/2014/main" id="{C7B25EF6-EF6F-6122-DF94-351D2F84D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4762</xdr:rowOff>
    </xdr:from>
    <xdr:to>
      <xdr:col>8</xdr:col>
      <xdr:colOff>9525</xdr:colOff>
      <xdr:row>29</xdr:row>
      <xdr:rowOff>80962</xdr:rowOff>
    </xdr:to>
    <xdr:graphicFrame macro="">
      <xdr:nvGraphicFramePr>
        <xdr:cNvPr id="3" name="Chart 2">
          <a:extLst>
            <a:ext uri="{FF2B5EF4-FFF2-40B4-BE49-F238E27FC236}">
              <a16:creationId xmlns:a16="http://schemas.microsoft.com/office/drawing/2014/main" id="{45C2FF20-D3FE-F92D-C828-418ADBE97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9526</xdr:colOff>
      <xdr:row>17</xdr:row>
      <xdr:rowOff>14287</xdr:rowOff>
    </xdr:from>
    <xdr:to>
      <xdr:col>13</xdr:col>
      <xdr:colOff>1</xdr:colOff>
      <xdr:row>31</xdr:row>
      <xdr:rowOff>90487</xdr:rowOff>
    </xdr:to>
    <xdr:graphicFrame macro="">
      <xdr:nvGraphicFramePr>
        <xdr:cNvPr id="4" name="Chart 3">
          <a:extLst>
            <a:ext uri="{FF2B5EF4-FFF2-40B4-BE49-F238E27FC236}">
              <a16:creationId xmlns:a16="http://schemas.microsoft.com/office/drawing/2014/main" id="{761BFDF2-E142-CE81-66E2-D1B686989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42</xdr:row>
      <xdr:rowOff>14287</xdr:rowOff>
    </xdr:from>
    <xdr:to>
      <xdr:col>2</xdr:col>
      <xdr:colOff>1762124</xdr:colOff>
      <xdr:row>56</xdr:row>
      <xdr:rowOff>90487</xdr:rowOff>
    </xdr:to>
    <xdr:graphicFrame macro="">
      <xdr:nvGraphicFramePr>
        <xdr:cNvPr id="5" name="Chart 4">
          <a:extLst>
            <a:ext uri="{FF2B5EF4-FFF2-40B4-BE49-F238E27FC236}">
              <a16:creationId xmlns:a16="http://schemas.microsoft.com/office/drawing/2014/main" id="{BAC253F5-91D0-9110-711C-61A7EBA51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619125</xdr:colOff>
      <xdr:row>44</xdr:row>
      <xdr:rowOff>185737</xdr:rowOff>
    </xdr:from>
    <xdr:to>
      <xdr:col>7</xdr:col>
      <xdr:colOff>0</xdr:colOff>
      <xdr:row>59</xdr:row>
      <xdr:rowOff>71437</xdr:rowOff>
    </xdr:to>
    <xdr:graphicFrame macro="">
      <xdr:nvGraphicFramePr>
        <xdr:cNvPr id="6" name="Chart 5">
          <a:extLst>
            <a:ext uri="{FF2B5EF4-FFF2-40B4-BE49-F238E27FC236}">
              <a16:creationId xmlns:a16="http://schemas.microsoft.com/office/drawing/2014/main" id="{0D87492D-B6C7-1EEC-6D1B-039A3A1E3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800099</xdr:colOff>
      <xdr:row>45</xdr:row>
      <xdr:rowOff>185737</xdr:rowOff>
    </xdr:from>
    <xdr:to>
      <xdr:col>13</xdr:col>
      <xdr:colOff>609599</xdr:colOff>
      <xdr:row>60</xdr:row>
      <xdr:rowOff>71437</xdr:rowOff>
    </xdr:to>
    <xdr:graphicFrame macro="">
      <xdr:nvGraphicFramePr>
        <xdr:cNvPr id="7" name="Chart 6">
          <a:extLst>
            <a:ext uri="{FF2B5EF4-FFF2-40B4-BE49-F238E27FC236}">
              <a16:creationId xmlns:a16="http://schemas.microsoft.com/office/drawing/2014/main" id="{1C30BA64-67C9-DF22-C38C-1656DA317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42</xdr:row>
      <xdr:rowOff>185736</xdr:rowOff>
    </xdr:from>
    <xdr:to>
      <xdr:col>20</xdr:col>
      <xdr:colOff>0</xdr:colOff>
      <xdr:row>60</xdr:row>
      <xdr:rowOff>190499</xdr:rowOff>
    </xdr:to>
    <xdr:graphicFrame macro="">
      <xdr:nvGraphicFramePr>
        <xdr:cNvPr id="8" name="Chart 7">
          <a:extLst>
            <a:ext uri="{FF2B5EF4-FFF2-40B4-BE49-F238E27FC236}">
              <a16:creationId xmlns:a16="http://schemas.microsoft.com/office/drawing/2014/main" id="{7E45C6C8-05FC-C893-8F3A-CC5FB9330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69</xdr:row>
      <xdr:rowOff>185737</xdr:rowOff>
    </xdr:from>
    <xdr:to>
      <xdr:col>3</xdr:col>
      <xdr:colOff>0</xdr:colOff>
      <xdr:row>84</xdr:row>
      <xdr:rowOff>71437</xdr:rowOff>
    </xdr:to>
    <xdr:graphicFrame macro="">
      <xdr:nvGraphicFramePr>
        <xdr:cNvPr id="9" name="Chart 8">
          <a:extLst>
            <a:ext uri="{FF2B5EF4-FFF2-40B4-BE49-F238E27FC236}">
              <a16:creationId xmlns:a16="http://schemas.microsoft.com/office/drawing/2014/main" id="{55224C57-477D-8929-A697-E82803E5F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69</xdr:row>
      <xdr:rowOff>166687</xdr:rowOff>
    </xdr:from>
    <xdr:to>
      <xdr:col>7</xdr:col>
      <xdr:colOff>9525</xdr:colOff>
      <xdr:row>84</xdr:row>
      <xdr:rowOff>52387</xdr:rowOff>
    </xdr:to>
    <xdr:graphicFrame macro="">
      <xdr:nvGraphicFramePr>
        <xdr:cNvPr id="10" name="Chart 9">
          <a:extLst>
            <a:ext uri="{FF2B5EF4-FFF2-40B4-BE49-F238E27FC236}">
              <a16:creationId xmlns:a16="http://schemas.microsoft.com/office/drawing/2014/main" id="{ED46CED7-055D-2D62-8B57-80F53D4F5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804862</xdr:colOff>
      <xdr:row>70</xdr:row>
      <xdr:rowOff>14287</xdr:rowOff>
    </xdr:from>
    <xdr:to>
      <xdr:col>11</xdr:col>
      <xdr:colOff>566737</xdr:colOff>
      <xdr:row>84</xdr:row>
      <xdr:rowOff>90487</xdr:rowOff>
    </xdr:to>
    <xdr:graphicFrame macro="">
      <xdr:nvGraphicFramePr>
        <xdr:cNvPr id="11" name="Chart 10">
          <a:extLst>
            <a:ext uri="{FF2B5EF4-FFF2-40B4-BE49-F238E27FC236}">
              <a16:creationId xmlns:a16="http://schemas.microsoft.com/office/drawing/2014/main" id="{D6F9D3F0-8F77-2695-7723-6AA239501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93</xdr:row>
      <xdr:rowOff>176212</xdr:rowOff>
    </xdr:from>
    <xdr:to>
      <xdr:col>3</xdr:col>
      <xdr:colOff>0</xdr:colOff>
      <xdr:row>108</xdr:row>
      <xdr:rowOff>61912</xdr:rowOff>
    </xdr:to>
    <xdr:graphicFrame macro="">
      <xdr:nvGraphicFramePr>
        <xdr:cNvPr id="12" name="Chart 11">
          <a:extLst>
            <a:ext uri="{FF2B5EF4-FFF2-40B4-BE49-F238E27FC236}">
              <a16:creationId xmlns:a16="http://schemas.microsoft.com/office/drawing/2014/main" id="{DF167649-F4E7-82ED-ED75-5A187DBD5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45583</xdr:colOff>
      <xdr:row>94</xdr:row>
      <xdr:rowOff>27894</xdr:rowOff>
    </xdr:from>
    <xdr:to>
      <xdr:col>5</xdr:col>
      <xdr:colOff>2231572</xdr:colOff>
      <xdr:row>112</xdr:row>
      <xdr:rowOff>13607</xdr:rowOff>
    </xdr:to>
    <xdr:graphicFrame macro="">
      <xdr:nvGraphicFramePr>
        <xdr:cNvPr id="13" name="Chart 12">
          <a:extLst>
            <a:ext uri="{FF2B5EF4-FFF2-40B4-BE49-F238E27FC236}">
              <a16:creationId xmlns:a16="http://schemas.microsoft.com/office/drawing/2014/main" id="{A1526BF6-E7E1-69B3-068C-B3C1CBEFD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126</xdr:row>
      <xdr:rowOff>16329</xdr:rowOff>
    </xdr:from>
    <xdr:to>
      <xdr:col>5</xdr:col>
      <xdr:colOff>0</xdr:colOff>
      <xdr:row>140</xdr:row>
      <xdr:rowOff>92529</xdr:rowOff>
    </xdr:to>
    <xdr:graphicFrame macro="">
      <xdr:nvGraphicFramePr>
        <xdr:cNvPr id="14" name="Chart 13">
          <a:extLst>
            <a:ext uri="{FF2B5EF4-FFF2-40B4-BE49-F238E27FC236}">
              <a16:creationId xmlns:a16="http://schemas.microsoft.com/office/drawing/2014/main" id="{44A37480-FC6A-B3BD-8D7C-E147F1616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6803</xdr:colOff>
      <xdr:row>128</xdr:row>
      <xdr:rowOff>125186</xdr:rowOff>
    </xdr:from>
    <xdr:to>
      <xdr:col>9</xdr:col>
      <xdr:colOff>0</xdr:colOff>
      <xdr:row>141</xdr:row>
      <xdr:rowOff>13608</xdr:rowOff>
    </xdr:to>
    <xdr:graphicFrame macro="">
      <xdr:nvGraphicFramePr>
        <xdr:cNvPr id="15" name="Chart 14">
          <a:extLst>
            <a:ext uri="{FF2B5EF4-FFF2-40B4-BE49-F238E27FC236}">
              <a16:creationId xmlns:a16="http://schemas.microsoft.com/office/drawing/2014/main" id="{BB0756D5-98F0-FF6E-560F-546EA4B69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35</xdr:row>
      <xdr:rowOff>190499</xdr:rowOff>
    </xdr:to>
    <xdr:sp macro="" textlink="">
      <xdr:nvSpPr>
        <xdr:cNvPr id="2" name="Rectangle: Rounded Corners 1">
          <a:extLst>
            <a:ext uri="{FF2B5EF4-FFF2-40B4-BE49-F238E27FC236}">
              <a16:creationId xmlns:a16="http://schemas.microsoft.com/office/drawing/2014/main" id="{04FB61CB-9FE9-B20D-3195-9FE5B4DA209C}"/>
            </a:ext>
          </a:extLst>
        </xdr:cNvPr>
        <xdr:cNvSpPr/>
      </xdr:nvSpPr>
      <xdr:spPr>
        <a:xfrm>
          <a:off x="0" y="0"/>
          <a:ext cx="12801600" cy="6857999"/>
        </a:xfrm>
        <a:prstGeom prst="roundRect">
          <a:avLst>
            <a:gd name="adj" fmla="val 0"/>
          </a:avLst>
        </a:prstGeom>
        <a:solidFill>
          <a:srgbClr val="F5F4FD"/>
        </a:solidFill>
        <a:ln>
          <a:solidFill>
            <a:srgbClr val="F5F4FD"/>
          </a:solidFill>
        </a:ln>
        <a:effectLst>
          <a:outerShdw blurRad="63500" sx="101000" sy="101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90175</xdr:colOff>
      <xdr:row>27</xdr:row>
      <xdr:rowOff>8714</xdr:rowOff>
    </xdr:from>
    <xdr:to>
      <xdr:col>12</xdr:col>
      <xdr:colOff>260863</xdr:colOff>
      <xdr:row>35</xdr:row>
      <xdr:rowOff>68094</xdr:rowOff>
    </xdr:to>
    <xdr:sp macro="" textlink="">
      <xdr:nvSpPr>
        <xdr:cNvPr id="3" name="Rectangle: Top Corners Rounded 2">
          <a:extLst>
            <a:ext uri="{FF2B5EF4-FFF2-40B4-BE49-F238E27FC236}">
              <a16:creationId xmlns:a16="http://schemas.microsoft.com/office/drawing/2014/main" id="{AB0664A9-09F8-AD50-898F-81B6B0B01C11}"/>
            </a:ext>
          </a:extLst>
        </xdr:cNvPr>
        <xdr:cNvSpPr/>
      </xdr:nvSpPr>
      <xdr:spPr>
        <a:xfrm>
          <a:off x="1918975" y="5152214"/>
          <a:ext cx="5047488" cy="1583380"/>
        </a:xfrm>
        <a:prstGeom prst="round2SameRect">
          <a:avLst>
            <a:gd name="adj1" fmla="val 10695"/>
            <a:gd name="adj2" fmla="val 0"/>
          </a:avLst>
        </a:prstGeom>
        <a:solidFill>
          <a:schemeClr val="bg1"/>
        </a:solidFill>
        <a:ln>
          <a:noFill/>
        </a:ln>
        <a:effectLst>
          <a:outerShdw blurRad="63500" sx="102000" sy="102000" algn="ctr" rotWithShape="0">
            <a:srgbClr val="E0DEF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350655</xdr:colOff>
      <xdr:row>30</xdr:row>
      <xdr:rowOff>113834</xdr:rowOff>
    </xdr:from>
    <xdr:to>
      <xdr:col>20</xdr:col>
      <xdr:colOff>375868</xdr:colOff>
      <xdr:row>35</xdr:row>
      <xdr:rowOff>68094</xdr:rowOff>
    </xdr:to>
    <xdr:sp macro="" textlink="">
      <xdr:nvSpPr>
        <xdr:cNvPr id="4" name="Rectangle: Top Corners Rounded 3">
          <a:extLst>
            <a:ext uri="{FF2B5EF4-FFF2-40B4-BE49-F238E27FC236}">
              <a16:creationId xmlns:a16="http://schemas.microsoft.com/office/drawing/2014/main" id="{3CB0D9F5-DD4D-BE82-57A7-55B4A20D54E1}"/>
            </a:ext>
          </a:extLst>
        </xdr:cNvPr>
        <xdr:cNvSpPr/>
      </xdr:nvSpPr>
      <xdr:spPr>
        <a:xfrm>
          <a:off x="7056255" y="5828834"/>
          <a:ext cx="4902013" cy="906760"/>
        </a:xfrm>
        <a:prstGeom prst="round2SameRect">
          <a:avLst>
            <a:gd name="adj1" fmla="val 16586"/>
            <a:gd name="adj2" fmla="val 0"/>
          </a:avLst>
        </a:prstGeom>
        <a:solidFill>
          <a:srgbClr val="F0E8F4"/>
        </a:solidFill>
        <a:ln w="12700">
          <a:solidFill>
            <a:schemeClr val="bg1">
              <a:lumMod val="95000"/>
            </a:schemeClr>
          </a:solidFill>
        </a:ln>
        <a:effectLst>
          <a:outerShdw blurRad="228600" sx="99000" sy="99000" algn="ctr" rotWithShape="0">
            <a:srgbClr val="C8C7E7">
              <a:alpha val="7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77286</xdr:colOff>
      <xdr:row>4</xdr:row>
      <xdr:rowOff>138600</xdr:rowOff>
    </xdr:from>
    <xdr:to>
      <xdr:col>20</xdr:col>
      <xdr:colOff>375868</xdr:colOff>
      <xdr:row>7</xdr:row>
      <xdr:rowOff>179711</xdr:rowOff>
    </xdr:to>
    <xdr:sp macro="" textlink="">
      <xdr:nvSpPr>
        <xdr:cNvPr id="5" name="Freeform: Shape 4">
          <a:extLst>
            <a:ext uri="{FF2B5EF4-FFF2-40B4-BE49-F238E27FC236}">
              <a16:creationId xmlns:a16="http://schemas.microsoft.com/office/drawing/2014/main" id="{40606B7C-AFB9-E91D-1AC6-198592AF5053}"/>
            </a:ext>
          </a:extLst>
        </xdr:cNvPr>
        <xdr:cNvSpPr/>
      </xdr:nvSpPr>
      <xdr:spPr>
        <a:xfrm>
          <a:off x="1906086" y="900600"/>
          <a:ext cx="10052182" cy="612611"/>
        </a:xfrm>
        <a:custGeom>
          <a:avLst/>
          <a:gdLst>
            <a:gd name="csX0" fmla="*/ 8110176 w 10052182"/>
            <a:gd name="csY0" fmla="*/ 0 h 592329"/>
            <a:gd name="csX1" fmla="*/ 10047889 w 10052182"/>
            <a:gd name="csY1" fmla="*/ 0 h 592329"/>
            <a:gd name="csX2" fmla="*/ 10052182 w 10052182"/>
            <a:gd name="csY2" fmla="*/ 23683 h 592329"/>
            <a:gd name="csX3" fmla="*/ 10052182 w 10052182"/>
            <a:gd name="csY3" fmla="*/ 478597 h 592329"/>
            <a:gd name="csX4" fmla="*/ 9950078 w 10052182"/>
            <a:gd name="csY4" fmla="*/ 592329 h 592329"/>
            <a:gd name="csX5" fmla="*/ 8207987 w 10052182"/>
            <a:gd name="csY5" fmla="*/ 592329 h 592329"/>
            <a:gd name="csX6" fmla="*/ 8105883 w 10052182"/>
            <a:gd name="csY6" fmla="*/ 478597 h 592329"/>
            <a:gd name="csX7" fmla="*/ 8105883 w 10052182"/>
            <a:gd name="csY7" fmla="*/ 23683 h 592329"/>
            <a:gd name="csX8" fmla="*/ 6083706 w 10052182"/>
            <a:gd name="csY8" fmla="*/ 0 h 592329"/>
            <a:gd name="csX9" fmla="*/ 8021419 w 10052182"/>
            <a:gd name="csY9" fmla="*/ 0 h 592329"/>
            <a:gd name="csX10" fmla="*/ 8025712 w 10052182"/>
            <a:gd name="csY10" fmla="*/ 23683 h 592329"/>
            <a:gd name="csX11" fmla="*/ 8025712 w 10052182"/>
            <a:gd name="csY11" fmla="*/ 478597 h 592329"/>
            <a:gd name="csX12" fmla="*/ 7923608 w 10052182"/>
            <a:gd name="csY12" fmla="*/ 592329 h 592329"/>
            <a:gd name="csX13" fmla="*/ 6181517 w 10052182"/>
            <a:gd name="csY13" fmla="*/ 592329 h 592329"/>
            <a:gd name="csX14" fmla="*/ 6079413 w 10052182"/>
            <a:gd name="csY14" fmla="*/ 478597 h 592329"/>
            <a:gd name="csX15" fmla="*/ 6079413 w 10052182"/>
            <a:gd name="csY15" fmla="*/ 23683 h 592329"/>
            <a:gd name="csX16" fmla="*/ 4057235 w 10052182"/>
            <a:gd name="csY16" fmla="*/ 0 h 592329"/>
            <a:gd name="csX17" fmla="*/ 5994949 w 10052182"/>
            <a:gd name="csY17" fmla="*/ 0 h 592329"/>
            <a:gd name="csX18" fmla="*/ 5999241 w 10052182"/>
            <a:gd name="csY18" fmla="*/ 23683 h 592329"/>
            <a:gd name="csX19" fmla="*/ 5999241 w 10052182"/>
            <a:gd name="csY19" fmla="*/ 478597 h 592329"/>
            <a:gd name="csX20" fmla="*/ 5897137 w 10052182"/>
            <a:gd name="csY20" fmla="*/ 592329 h 592329"/>
            <a:gd name="csX21" fmla="*/ 4155046 w 10052182"/>
            <a:gd name="csY21" fmla="*/ 592329 h 592329"/>
            <a:gd name="csX22" fmla="*/ 4052942 w 10052182"/>
            <a:gd name="csY22" fmla="*/ 478597 h 592329"/>
            <a:gd name="csX23" fmla="*/ 4052942 w 10052182"/>
            <a:gd name="csY23" fmla="*/ 23683 h 592329"/>
            <a:gd name="csX24" fmla="*/ 2030765 w 10052182"/>
            <a:gd name="csY24" fmla="*/ 0 h 592329"/>
            <a:gd name="csX25" fmla="*/ 3968478 w 10052182"/>
            <a:gd name="csY25" fmla="*/ 0 h 592329"/>
            <a:gd name="csX26" fmla="*/ 3972770 w 10052182"/>
            <a:gd name="csY26" fmla="*/ 23683 h 592329"/>
            <a:gd name="csX27" fmla="*/ 3972770 w 10052182"/>
            <a:gd name="csY27" fmla="*/ 478597 h 592329"/>
            <a:gd name="csX28" fmla="*/ 3870666 w 10052182"/>
            <a:gd name="csY28" fmla="*/ 592329 h 592329"/>
            <a:gd name="csX29" fmla="*/ 2128575 w 10052182"/>
            <a:gd name="csY29" fmla="*/ 592329 h 592329"/>
            <a:gd name="csX30" fmla="*/ 2026472 w 10052182"/>
            <a:gd name="csY30" fmla="*/ 478597 h 592329"/>
            <a:gd name="csX31" fmla="*/ 2026472 w 10052182"/>
            <a:gd name="csY31" fmla="*/ 23683 h 592329"/>
            <a:gd name="csX32" fmla="*/ 4293 w 10052182"/>
            <a:gd name="csY32" fmla="*/ 0 h 592329"/>
            <a:gd name="csX33" fmla="*/ 1942007 w 10052182"/>
            <a:gd name="csY33" fmla="*/ 0 h 592329"/>
            <a:gd name="csX34" fmla="*/ 1946299 w 10052182"/>
            <a:gd name="csY34" fmla="*/ 23683 h 592329"/>
            <a:gd name="csX35" fmla="*/ 1946299 w 10052182"/>
            <a:gd name="csY35" fmla="*/ 478597 h 592329"/>
            <a:gd name="csX36" fmla="*/ 1844195 w 10052182"/>
            <a:gd name="csY36" fmla="*/ 592329 h 592329"/>
            <a:gd name="csX37" fmla="*/ 102105 w 10052182"/>
            <a:gd name="csY37" fmla="*/ 592329 h 592329"/>
            <a:gd name="csX38" fmla="*/ 0 w 10052182"/>
            <a:gd name="csY38" fmla="*/ 478597 h 592329"/>
            <a:gd name="csX39" fmla="*/ 0 w 10052182"/>
            <a:gd name="csY39" fmla="*/ 23683 h 5923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Lst>
          <a:rect l="l" t="t" r="r" b="b"/>
          <a:pathLst>
            <a:path w="10052182" h="592329">
              <a:moveTo>
                <a:pt x="8110176" y="0"/>
              </a:moveTo>
              <a:lnTo>
                <a:pt x="10047889" y="0"/>
              </a:lnTo>
              <a:lnTo>
                <a:pt x="10052182" y="23683"/>
              </a:lnTo>
              <a:lnTo>
                <a:pt x="10052182" y="478597"/>
              </a:lnTo>
              <a:cubicBezTo>
                <a:pt x="10052182" y="541409"/>
                <a:pt x="10006468" y="592329"/>
                <a:pt x="9950078" y="592329"/>
              </a:cubicBezTo>
              <a:lnTo>
                <a:pt x="8207987" y="592329"/>
              </a:lnTo>
              <a:cubicBezTo>
                <a:pt x="8151597" y="592329"/>
                <a:pt x="8105883" y="541409"/>
                <a:pt x="8105883" y="478597"/>
              </a:cubicBezTo>
              <a:lnTo>
                <a:pt x="8105883" y="23683"/>
              </a:lnTo>
              <a:close/>
              <a:moveTo>
                <a:pt x="6083706" y="0"/>
              </a:moveTo>
              <a:lnTo>
                <a:pt x="8021419" y="0"/>
              </a:lnTo>
              <a:lnTo>
                <a:pt x="8025712" y="23683"/>
              </a:lnTo>
              <a:lnTo>
                <a:pt x="8025712" y="478597"/>
              </a:lnTo>
              <a:cubicBezTo>
                <a:pt x="8025712" y="541409"/>
                <a:pt x="7979998" y="592329"/>
                <a:pt x="7923608" y="592329"/>
              </a:cubicBezTo>
              <a:lnTo>
                <a:pt x="6181517" y="592329"/>
              </a:lnTo>
              <a:cubicBezTo>
                <a:pt x="6125127" y="592329"/>
                <a:pt x="6079413" y="541409"/>
                <a:pt x="6079413" y="478597"/>
              </a:cubicBezTo>
              <a:lnTo>
                <a:pt x="6079413" y="23683"/>
              </a:lnTo>
              <a:close/>
              <a:moveTo>
                <a:pt x="4057235" y="0"/>
              </a:moveTo>
              <a:lnTo>
                <a:pt x="5994949" y="0"/>
              </a:lnTo>
              <a:lnTo>
                <a:pt x="5999241" y="23683"/>
              </a:lnTo>
              <a:lnTo>
                <a:pt x="5999241" y="478597"/>
              </a:lnTo>
              <a:cubicBezTo>
                <a:pt x="5999241" y="541409"/>
                <a:pt x="5953527" y="592329"/>
                <a:pt x="5897137" y="592329"/>
              </a:cubicBezTo>
              <a:lnTo>
                <a:pt x="4155046" y="592329"/>
              </a:lnTo>
              <a:cubicBezTo>
                <a:pt x="4098656" y="592329"/>
                <a:pt x="4052942" y="541409"/>
                <a:pt x="4052942" y="478597"/>
              </a:cubicBezTo>
              <a:lnTo>
                <a:pt x="4052942" y="23683"/>
              </a:lnTo>
              <a:close/>
              <a:moveTo>
                <a:pt x="2030765" y="0"/>
              </a:moveTo>
              <a:lnTo>
                <a:pt x="3968478" y="0"/>
              </a:lnTo>
              <a:lnTo>
                <a:pt x="3972770" y="23683"/>
              </a:lnTo>
              <a:lnTo>
                <a:pt x="3972770" y="478597"/>
              </a:lnTo>
              <a:cubicBezTo>
                <a:pt x="3972770" y="541409"/>
                <a:pt x="3927056" y="592329"/>
                <a:pt x="3870666" y="592329"/>
              </a:cubicBezTo>
              <a:lnTo>
                <a:pt x="2128575" y="592329"/>
              </a:lnTo>
              <a:cubicBezTo>
                <a:pt x="2072186" y="592329"/>
                <a:pt x="2026472" y="541409"/>
                <a:pt x="2026472" y="478597"/>
              </a:cubicBezTo>
              <a:lnTo>
                <a:pt x="2026472" y="23683"/>
              </a:lnTo>
              <a:close/>
              <a:moveTo>
                <a:pt x="4293" y="0"/>
              </a:moveTo>
              <a:lnTo>
                <a:pt x="1942007" y="0"/>
              </a:lnTo>
              <a:lnTo>
                <a:pt x="1946299" y="23683"/>
              </a:lnTo>
              <a:lnTo>
                <a:pt x="1946299" y="478597"/>
              </a:lnTo>
              <a:cubicBezTo>
                <a:pt x="1946299" y="541409"/>
                <a:pt x="1900585" y="592329"/>
                <a:pt x="1844195" y="592329"/>
              </a:cubicBezTo>
              <a:lnTo>
                <a:pt x="102105" y="592329"/>
              </a:lnTo>
              <a:cubicBezTo>
                <a:pt x="45715" y="592329"/>
                <a:pt x="0" y="541409"/>
                <a:pt x="0" y="478597"/>
              </a:cubicBezTo>
              <a:lnTo>
                <a:pt x="0" y="23683"/>
              </a:lnTo>
              <a:close/>
            </a:path>
          </a:pathLst>
        </a:custGeom>
        <a:solidFill>
          <a:schemeClr val="bg1"/>
        </a:solidFill>
        <a:ln>
          <a:noFill/>
        </a:ln>
        <a:effectLst>
          <a:outerShdw blurRad="228600" sx="99000" sy="99000" algn="ctr" rotWithShape="0">
            <a:srgbClr val="C8C7E7">
              <a:alpha val="7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M</a:t>
          </a:r>
        </a:p>
      </xdr:txBody>
    </xdr:sp>
    <xdr:clientData/>
  </xdr:twoCellAnchor>
  <xdr:twoCellAnchor>
    <xdr:from>
      <xdr:col>0</xdr:col>
      <xdr:colOff>233732</xdr:colOff>
      <xdr:row>0</xdr:row>
      <xdr:rowOff>122404</xdr:rowOff>
    </xdr:from>
    <xdr:to>
      <xdr:col>20</xdr:col>
      <xdr:colOff>375869</xdr:colOff>
      <xdr:row>3</xdr:row>
      <xdr:rowOff>105116</xdr:rowOff>
    </xdr:to>
    <xdr:sp macro="" textlink="">
      <xdr:nvSpPr>
        <xdr:cNvPr id="6" name="Rectangle: Top Corners Rounded 5">
          <a:extLst>
            <a:ext uri="{FF2B5EF4-FFF2-40B4-BE49-F238E27FC236}">
              <a16:creationId xmlns:a16="http://schemas.microsoft.com/office/drawing/2014/main" id="{91AA742C-9A11-7919-6D0A-1C87F9988DDE}"/>
            </a:ext>
          </a:extLst>
        </xdr:cNvPr>
        <xdr:cNvSpPr/>
      </xdr:nvSpPr>
      <xdr:spPr>
        <a:xfrm>
          <a:off x="233732" y="122404"/>
          <a:ext cx="12334137" cy="554212"/>
        </a:xfrm>
        <a:prstGeom prst="round2SameRect">
          <a:avLst>
            <a:gd name="adj1" fmla="val 50000"/>
            <a:gd name="adj2" fmla="val 0"/>
          </a:avLst>
        </a:prstGeom>
        <a:gradFill flip="none" rotWithShape="1">
          <a:gsLst>
            <a:gs pos="0">
              <a:srgbClr val="A9ACD8"/>
            </a:gs>
            <a:gs pos="35000">
              <a:srgbClr val="A9ACD8"/>
            </a:gs>
            <a:gs pos="100000">
              <a:srgbClr val="5C57AF"/>
            </a:gs>
          </a:gsLst>
          <a:path path="circle">
            <a:fillToRect l="50000" t="50000" r="50000" b="50000"/>
          </a:path>
          <a:tileRect/>
        </a:gradFill>
        <a:ln>
          <a:noFill/>
        </a:ln>
        <a:effectLst>
          <a:outerShdw blurRad="50800" dist="101600" dir="5400000" sx="98000" sy="98000" algn="t" rotWithShape="0">
            <a:srgbClr val="C8C8E9"/>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165653</xdr:colOff>
      <xdr:row>1</xdr:row>
      <xdr:rowOff>24344</xdr:rowOff>
    </xdr:from>
    <xdr:to>
      <xdr:col>14</xdr:col>
      <xdr:colOff>443947</xdr:colOff>
      <xdr:row>3</xdr:row>
      <xdr:rowOff>12676</xdr:rowOff>
    </xdr:to>
    <xdr:sp macro="" textlink="">
      <xdr:nvSpPr>
        <xdr:cNvPr id="7" name="TextBox 23">
          <a:extLst>
            <a:ext uri="{FF2B5EF4-FFF2-40B4-BE49-F238E27FC236}">
              <a16:creationId xmlns:a16="http://schemas.microsoft.com/office/drawing/2014/main" id="{F57B362C-2841-1BEB-B2BB-4A9E91382AA9}"/>
            </a:ext>
          </a:extLst>
        </xdr:cNvPr>
        <xdr:cNvSpPr txBox="1"/>
      </xdr:nvSpPr>
      <xdr:spPr>
        <a:xfrm>
          <a:off x="3823253" y="214844"/>
          <a:ext cx="5155094"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b="1">
              <a:solidFill>
                <a:schemeClr val="bg1"/>
              </a:solidFill>
              <a:effectLst>
                <a:outerShdw blurRad="50800" dist="38100" algn="l" rotWithShape="0">
                  <a:prstClr val="black">
                    <a:alpha val="40000"/>
                  </a:prstClr>
                </a:outerShdw>
              </a:effectLst>
              <a:latin typeface="Antenna Purina Medium" pitchFamily="2" charset="0"/>
              <a:cs typeface="Antenna Purina Medium" pitchFamily="2" charset="0"/>
            </a:rPr>
            <a:t>LAMBORGHINI SALES DASHBOARD</a:t>
          </a:r>
        </a:p>
      </xdr:txBody>
    </xdr:sp>
    <xdr:clientData/>
  </xdr:twoCellAnchor>
  <xdr:twoCellAnchor>
    <xdr:from>
      <xdr:col>4</xdr:col>
      <xdr:colOff>171757</xdr:colOff>
      <xdr:row>6</xdr:row>
      <xdr:rowOff>151196</xdr:rowOff>
    </xdr:from>
    <xdr:to>
      <xdr:col>7</xdr:col>
      <xdr:colOff>100315</xdr:colOff>
      <xdr:row>7</xdr:row>
      <xdr:rowOff>100396</xdr:rowOff>
    </xdr:to>
    <xdr:grpSp>
      <xdr:nvGrpSpPr>
        <xdr:cNvPr id="8" name="Group 7">
          <a:extLst>
            <a:ext uri="{FF2B5EF4-FFF2-40B4-BE49-F238E27FC236}">
              <a16:creationId xmlns:a16="http://schemas.microsoft.com/office/drawing/2014/main" id="{3D071608-8921-70D5-0BDA-7E3E08D0ADE1}"/>
            </a:ext>
          </a:extLst>
        </xdr:cNvPr>
        <xdr:cNvGrpSpPr/>
      </xdr:nvGrpSpPr>
      <xdr:grpSpPr>
        <a:xfrm>
          <a:off x="2610157" y="1294196"/>
          <a:ext cx="1757358" cy="139700"/>
          <a:chOff x="2476500" y="1701800"/>
          <a:chExt cx="1968500" cy="139700"/>
        </a:xfrm>
      </xdr:grpSpPr>
      <xdr:cxnSp macro="">
        <xdr:nvCxnSpPr>
          <xdr:cNvPr id="70" name="Straight Connector 69">
            <a:extLst>
              <a:ext uri="{FF2B5EF4-FFF2-40B4-BE49-F238E27FC236}">
                <a16:creationId xmlns:a16="http://schemas.microsoft.com/office/drawing/2014/main" id="{A000BFDF-0799-5904-3350-D0B4C65AE47B}"/>
              </a:ext>
            </a:extLst>
          </xdr:cNvPr>
          <xdr:cNvCxnSpPr>
            <a:cxnSpLocks/>
          </xdr:cNvCxnSpPr>
        </xdr:nvCxnSpPr>
        <xdr:spPr>
          <a:xfrm>
            <a:off x="2476500" y="1841500"/>
            <a:ext cx="1968500"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sp macro="" textlink="">
        <xdr:nvSpPr>
          <xdr:cNvPr id="71" name="Freeform: Shape 70">
            <a:extLst>
              <a:ext uri="{FF2B5EF4-FFF2-40B4-BE49-F238E27FC236}">
                <a16:creationId xmlns:a16="http://schemas.microsoft.com/office/drawing/2014/main" id="{1AD95DAF-D175-E217-A1CB-EBD24D9C7B5D}"/>
              </a:ext>
            </a:extLst>
          </xdr:cNvPr>
          <xdr:cNvSpPr/>
        </xdr:nvSpPr>
        <xdr:spPr>
          <a:xfrm flipH="1" flipV="1">
            <a:off x="3878349" y="1701800"/>
            <a:ext cx="566651" cy="139700"/>
          </a:xfrm>
          <a:custGeom>
            <a:avLst/>
            <a:gdLst>
              <a:gd name="csX0" fmla="*/ 541319 w 1729640"/>
              <a:gd name="csY0" fmla="*/ 354797 h 356234"/>
              <a:gd name="csX1" fmla="*/ 0 w 1729640"/>
              <a:gd name="csY1" fmla="*/ 252540 h 356234"/>
              <a:gd name="csX2" fmla="*/ 0 w 1729640"/>
              <a:gd name="csY2" fmla="*/ 0 h 356234"/>
              <a:gd name="csX3" fmla="*/ 1729640 w 1729640"/>
              <a:gd name="csY3" fmla="*/ 0 h 356234"/>
              <a:gd name="csX4" fmla="*/ 1662685 w 1729640"/>
              <a:gd name="csY4" fmla="*/ 2744 h 356234"/>
              <a:gd name="csX5" fmla="*/ 541319 w 1729640"/>
              <a:gd name="csY5" fmla="*/ 354797 h 356234"/>
            </a:gdLst>
            <a:ahLst/>
            <a:cxnLst>
              <a:cxn ang="0">
                <a:pos x="csX0" y="csY0"/>
              </a:cxn>
              <a:cxn ang="0">
                <a:pos x="csX1" y="csY1"/>
              </a:cxn>
              <a:cxn ang="0">
                <a:pos x="csX2" y="csY2"/>
              </a:cxn>
              <a:cxn ang="0">
                <a:pos x="csX3" y="csY3"/>
              </a:cxn>
              <a:cxn ang="0">
                <a:pos x="csX4" y="csY4"/>
              </a:cxn>
              <a:cxn ang="0">
                <a:pos x="csX5" y="csY5"/>
              </a:cxn>
            </a:cxnLst>
            <a:rect l="l" t="t" r="r" b="b"/>
            <a:pathLst>
              <a:path w="1729640" h="356234">
                <a:moveTo>
                  <a:pt x="541319" y="354797"/>
                </a:moveTo>
                <a:cubicBezTo>
                  <a:pt x="398867" y="363020"/>
                  <a:pt x="227924" y="336876"/>
                  <a:pt x="0" y="252540"/>
                </a:cubicBezTo>
                <a:lnTo>
                  <a:pt x="0" y="0"/>
                </a:lnTo>
                <a:lnTo>
                  <a:pt x="1729640" y="0"/>
                </a:lnTo>
                <a:lnTo>
                  <a:pt x="1662685" y="2744"/>
                </a:lnTo>
                <a:cubicBezTo>
                  <a:pt x="1109347" y="49672"/>
                  <a:pt x="933063" y="332184"/>
                  <a:pt x="541319" y="354797"/>
                </a:cubicBezTo>
                <a:close/>
              </a:path>
            </a:pathLst>
          </a:custGeom>
          <a:solidFill>
            <a:srgbClr val="E0D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grpSp>
    <xdr:clientData/>
  </xdr:twoCellAnchor>
  <xdr:twoCellAnchor>
    <xdr:from>
      <xdr:col>4</xdr:col>
      <xdr:colOff>171757</xdr:colOff>
      <xdr:row>5</xdr:row>
      <xdr:rowOff>70846</xdr:rowOff>
    </xdr:from>
    <xdr:to>
      <xdr:col>5</xdr:col>
      <xdr:colOff>30925</xdr:colOff>
      <xdr:row>7</xdr:row>
      <xdr:rowOff>28503</xdr:rowOff>
    </xdr:to>
    <xdr:sp macro="" textlink="">
      <xdr:nvSpPr>
        <xdr:cNvPr id="9" name="Rectangle: Rounded Corners 8">
          <a:extLst>
            <a:ext uri="{FF2B5EF4-FFF2-40B4-BE49-F238E27FC236}">
              <a16:creationId xmlns:a16="http://schemas.microsoft.com/office/drawing/2014/main" id="{D4CFA1ED-9489-3B4A-4D33-FC8C5669F593}"/>
            </a:ext>
          </a:extLst>
        </xdr:cNvPr>
        <xdr:cNvSpPr/>
      </xdr:nvSpPr>
      <xdr:spPr>
        <a:xfrm>
          <a:off x="2000557" y="1023346"/>
          <a:ext cx="468768" cy="338657"/>
        </a:xfrm>
        <a:prstGeom prst="roundRect">
          <a:avLst>
            <a:gd name="adj" fmla="val 19980"/>
          </a:avLst>
        </a:prstGeom>
        <a:solidFill>
          <a:srgbClr val="B579B4"/>
        </a:solidFill>
        <a:ln>
          <a:noFill/>
        </a:ln>
        <a:effectLst>
          <a:innerShdw blurRad="63500" dist="1905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lientData/>
  </xdr:twoCellAnchor>
  <xdr:twoCellAnchor>
    <xdr:from>
      <xdr:col>5</xdr:col>
      <xdr:colOff>1484</xdr:colOff>
      <xdr:row>5</xdr:row>
      <xdr:rowOff>37864</xdr:rowOff>
    </xdr:from>
    <xdr:to>
      <xdr:col>7</xdr:col>
      <xdr:colOff>28606</xdr:colOff>
      <xdr:row>6</xdr:row>
      <xdr:rowOff>32030</xdr:rowOff>
    </xdr:to>
    <xdr:sp macro="" textlink="">
      <xdr:nvSpPr>
        <xdr:cNvPr id="10" name="TextBox 24">
          <a:extLst>
            <a:ext uri="{FF2B5EF4-FFF2-40B4-BE49-F238E27FC236}">
              <a16:creationId xmlns:a16="http://schemas.microsoft.com/office/drawing/2014/main" id="{B28E0AC4-4193-0598-106A-DD3CBA095522}"/>
            </a:ext>
          </a:extLst>
        </xdr:cNvPr>
        <xdr:cNvSpPr txBox="1"/>
      </xdr:nvSpPr>
      <xdr:spPr>
        <a:xfrm>
          <a:off x="2439884" y="990364"/>
          <a:ext cx="1246322"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Total Number of Vehicles</a:t>
          </a:r>
        </a:p>
      </xdr:txBody>
    </xdr:sp>
    <xdr:clientData/>
  </xdr:twoCellAnchor>
  <xdr:twoCellAnchor>
    <xdr:from>
      <xdr:col>7</xdr:col>
      <xdr:colOff>369428</xdr:colOff>
      <xdr:row>6</xdr:row>
      <xdr:rowOff>151196</xdr:rowOff>
    </xdr:from>
    <xdr:to>
      <xdr:col>10</xdr:col>
      <xdr:colOff>297986</xdr:colOff>
      <xdr:row>7</xdr:row>
      <xdr:rowOff>100396</xdr:rowOff>
    </xdr:to>
    <xdr:grpSp>
      <xdr:nvGrpSpPr>
        <xdr:cNvPr id="11" name="Group 10">
          <a:extLst>
            <a:ext uri="{FF2B5EF4-FFF2-40B4-BE49-F238E27FC236}">
              <a16:creationId xmlns:a16="http://schemas.microsoft.com/office/drawing/2014/main" id="{3C37078E-FFF6-81B3-8F92-CD1F06EB5213}"/>
            </a:ext>
          </a:extLst>
        </xdr:cNvPr>
        <xdr:cNvGrpSpPr/>
      </xdr:nvGrpSpPr>
      <xdr:grpSpPr>
        <a:xfrm>
          <a:off x="4636628" y="1294196"/>
          <a:ext cx="1757358" cy="139700"/>
          <a:chOff x="2476500" y="1701800"/>
          <a:chExt cx="1968500" cy="139700"/>
        </a:xfrm>
      </xdr:grpSpPr>
      <xdr:cxnSp macro="">
        <xdr:nvCxnSpPr>
          <xdr:cNvPr id="68" name="Straight Connector 67">
            <a:extLst>
              <a:ext uri="{FF2B5EF4-FFF2-40B4-BE49-F238E27FC236}">
                <a16:creationId xmlns:a16="http://schemas.microsoft.com/office/drawing/2014/main" id="{62BB50CB-EF56-F11D-AEBF-66C995914823}"/>
              </a:ext>
            </a:extLst>
          </xdr:cNvPr>
          <xdr:cNvCxnSpPr>
            <a:cxnSpLocks/>
          </xdr:cNvCxnSpPr>
        </xdr:nvCxnSpPr>
        <xdr:spPr>
          <a:xfrm>
            <a:off x="2476500" y="1841500"/>
            <a:ext cx="1968500"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sp macro="" textlink="">
        <xdr:nvSpPr>
          <xdr:cNvPr id="69" name="Freeform: Shape 68">
            <a:extLst>
              <a:ext uri="{FF2B5EF4-FFF2-40B4-BE49-F238E27FC236}">
                <a16:creationId xmlns:a16="http://schemas.microsoft.com/office/drawing/2014/main" id="{51D65AAA-20AC-F61F-03AE-4C31ABD2FACA}"/>
              </a:ext>
            </a:extLst>
          </xdr:cNvPr>
          <xdr:cNvSpPr/>
        </xdr:nvSpPr>
        <xdr:spPr>
          <a:xfrm flipH="1" flipV="1">
            <a:off x="3878349" y="1701800"/>
            <a:ext cx="566651" cy="139700"/>
          </a:xfrm>
          <a:custGeom>
            <a:avLst/>
            <a:gdLst>
              <a:gd name="csX0" fmla="*/ 541319 w 1729640"/>
              <a:gd name="csY0" fmla="*/ 354797 h 356234"/>
              <a:gd name="csX1" fmla="*/ 0 w 1729640"/>
              <a:gd name="csY1" fmla="*/ 252540 h 356234"/>
              <a:gd name="csX2" fmla="*/ 0 w 1729640"/>
              <a:gd name="csY2" fmla="*/ 0 h 356234"/>
              <a:gd name="csX3" fmla="*/ 1729640 w 1729640"/>
              <a:gd name="csY3" fmla="*/ 0 h 356234"/>
              <a:gd name="csX4" fmla="*/ 1662685 w 1729640"/>
              <a:gd name="csY4" fmla="*/ 2744 h 356234"/>
              <a:gd name="csX5" fmla="*/ 541319 w 1729640"/>
              <a:gd name="csY5" fmla="*/ 354797 h 356234"/>
            </a:gdLst>
            <a:ahLst/>
            <a:cxnLst>
              <a:cxn ang="0">
                <a:pos x="csX0" y="csY0"/>
              </a:cxn>
              <a:cxn ang="0">
                <a:pos x="csX1" y="csY1"/>
              </a:cxn>
              <a:cxn ang="0">
                <a:pos x="csX2" y="csY2"/>
              </a:cxn>
              <a:cxn ang="0">
                <a:pos x="csX3" y="csY3"/>
              </a:cxn>
              <a:cxn ang="0">
                <a:pos x="csX4" y="csY4"/>
              </a:cxn>
              <a:cxn ang="0">
                <a:pos x="csX5" y="csY5"/>
              </a:cxn>
            </a:cxnLst>
            <a:rect l="l" t="t" r="r" b="b"/>
            <a:pathLst>
              <a:path w="1729640" h="356234">
                <a:moveTo>
                  <a:pt x="541319" y="354797"/>
                </a:moveTo>
                <a:cubicBezTo>
                  <a:pt x="398867" y="363020"/>
                  <a:pt x="227924" y="336876"/>
                  <a:pt x="0" y="252540"/>
                </a:cubicBezTo>
                <a:lnTo>
                  <a:pt x="0" y="0"/>
                </a:lnTo>
                <a:lnTo>
                  <a:pt x="1729640" y="0"/>
                </a:lnTo>
                <a:lnTo>
                  <a:pt x="1662685" y="2744"/>
                </a:lnTo>
                <a:cubicBezTo>
                  <a:pt x="1109347" y="49672"/>
                  <a:pt x="933063" y="332184"/>
                  <a:pt x="541319" y="354797"/>
                </a:cubicBezTo>
                <a:close/>
              </a:path>
            </a:pathLst>
          </a:custGeom>
          <a:solidFill>
            <a:srgbClr val="E0D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grpSp>
    <xdr:clientData/>
  </xdr:twoCellAnchor>
  <xdr:twoCellAnchor>
    <xdr:from>
      <xdr:col>7</xdr:col>
      <xdr:colOff>369428</xdr:colOff>
      <xdr:row>5</xdr:row>
      <xdr:rowOff>70846</xdr:rowOff>
    </xdr:from>
    <xdr:to>
      <xdr:col>8</xdr:col>
      <xdr:colOff>228596</xdr:colOff>
      <xdr:row>7</xdr:row>
      <xdr:rowOff>28503</xdr:rowOff>
    </xdr:to>
    <xdr:sp macro="" textlink="">
      <xdr:nvSpPr>
        <xdr:cNvPr id="12" name="Rectangle: Rounded Corners 11">
          <a:extLst>
            <a:ext uri="{FF2B5EF4-FFF2-40B4-BE49-F238E27FC236}">
              <a16:creationId xmlns:a16="http://schemas.microsoft.com/office/drawing/2014/main" id="{98137396-5E5C-04D4-D336-1D0518DBA33F}"/>
            </a:ext>
          </a:extLst>
        </xdr:cNvPr>
        <xdr:cNvSpPr/>
      </xdr:nvSpPr>
      <xdr:spPr>
        <a:xfrm>
          <a:off x="4027028" y="1023346"/>
          <a:ext cx="468768" cy="338657"/>
        </a:xfrm>
        <a:prstGeom prst="roundRect">
          <a:avLst>
            <a:gd name="adj" fmla="val 19980"/>
          </a:avLst>
        </a:prstGeom>
        <a:solidFill>
          <a:srgbClr val="9C84BF"/>
        </a:solidFill>
        <a:ln>
          <a:noFill/>
        </a:ln>
        <a:effectLst>
          <a:innerShdw blurRad="63500" dist="1905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lientData/>
  </xdr:twoCellAnchor>
  <xdr:twoCellAnchor>
    <xdr:from>
      <xdr:col>8</xdr:col>
      <xdr:colOff>204320</xdr:colOff>
      <xdr:row>5</xdr:row>
      <xdr:rowOff>37864</xdr:rowOff>
    </xdr:from>
    <xdr:to>
      <xdr:col>10</xdr:col>
      <xdr:colOff>133752</xdr:colOff>
      <xdr:row>6</xdr:row>
      <xdr:rowOff>32030</xdr:rowOff>
    </xdr:to>
    <xdr:sp macro="" textlink="">
      <xdr:nvSpPr>
        <xdr:cNvPr id="13" name="TextBox 25">
          <a:extLst>
            <a:ext uri="{FF2B5EF4-FFF2-40B4-BE49-F238E27FC236}">
              <a16:creationId xmlns:a16="http://schemas.microsoft.com/office/drawing/2014/main" id="{6DC3B964-36E4-6324-445D-2E5905E95D21}"/>
            </a:ext>
          </a:extLst>
        </xdr:cNvPr>
        <xdr:cNvSpPr txBox="1"/>
      </xdr:nvSpPr>
      <xdr:spPr>
        <a:xfrm>
          <a:off x="4471520" y="990364"/>
          <a:ext cx="1148632"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Total Sales Volume</a:t>
          </a:r>
        </a:p>
      </xdr:txBody>
    </xdr:sp>
    <xdr:clientData/>
  </xdr:twoCellAnchor>
  <xdr:twoCellAnchor>
    <xdr:from>
      <xdr:col>10</xdr:col>
      <xdr:colOff>567100</xdr:colOff>
      <xdr:row>6</xdr:row>
      <xdr:rowOff>160721</xdr:rowOff>
    </xdr:from>
    <xdr:to>
      <xdr:col>13</xdr:col>
      <xdr:colOff>495658</xdr:colOff>
      <xdr:row>7</xdr:row>
      <xdr:rowOff>109921</xdr:rowOff>
    </xdr:to>
    <xdr:grpSp>
      <xdr:nvGrpSpPr>
        <xdr:cNvPr id="14" name="Group 13">
          <a:extLst>
            <a:ext uri="{FF2B5EF4-FFF2-40B4-BE49-F238E27FC236}">
              <a16:creationId xmlns:a16="http://schemas.microsoft.com/office/drawing/2014/main" id="{5EC10DCB-D42C-3F78-87C3-BE956963BB9B}"/>
            </a:ext>
          </a:extLst>
        </xdr:cNvPr>
        <xdr:cNvGrpSpPr/>
      </xdr:nvGrpSpPr>
      <xdr:grpSpPr>
        <a:xfrm>
          <a:off x="6663100" y="1303721"/>
          <a:ext cx="1757358" cy="139700"/>
          <a:chOff x="2476500" y="1701800"/>
          <a:chExt cx="1968500" cy="139700"/>
        </a:xfrm>
      </xdr:grpSpPr>
      <xdr:cxnSp macro="">
        <xdr:nvCxnSpPr>
          <xdr:cNvPr id="66" name="Straight Connector 65">
            <a:extLst>
              <a:ext uri="{FF2B5EF4-FFF2-40B4-BE49-F238E27FC236}">
                <a16:creationId xmlns:a16="http://schemas.microsoft.com/office/drawing/2014/main" id="{CB245267-BA74-FE50-0A41-201F5890FB68}"/>
              </a:ext>
            </a:extLst>
          </xdr:cNvPr>
          <xdr:cNvCxnSpPr>
            <a:cxnSpLocks/>
          </xdr:cNvCxnSpPr>
        </xdr:nvCxnSpPr>
        <xdr:spPr>
          <a:xfrm>
            <a:off x="2476500" y="1841500"/>
            <a:ext cx="1968500"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sp macro="" textlink="">
        <xdr:nvSpPr>
          <xdr:cNvPr id="67" name="Freeform: Shape 66">
            <a:extLst>
              <a:ext uri="{FF2B5EF4-FFF2-40B4-BE49-F238E27FC236}">
                <a16:creationId xmlns:a16="http://schemas.microsoft.com/office/drawing/2014/main" id="{B8FC99F7-0A05-9598-661F-DB61037A224B}"/>
              </a:ext>
            </a:extLst>
          </xdr:cNvPr>
          <xdr:cNvSpPr/>
        </xdr:nvSpPr>
        <xdr:spPr>
          <a:xfrm flipH="1" flipV="1">
            <a:off x="3878349" y="1701800"/>
            <a:ext cx="566651" cy="139700"/>
          </a:xfrm>
          <a:custGeom>
            <a:avLst/>
            <a:gdLst>
              <a:gd name="csX0" fmla="*/ 541319 w 1729640"/>
              <a:gd name="csY0" fmla="*/ 354797 h 356234"/>
              <a:gd name="csX1" fmla="*/ 0 w 1729640"/>
              <a:gd name="csY1" fmla="*/ 252540 h 356234"/>
              <a:gd name="csX2" fmla="*/ 0 w 1729640"/>
              <a:gd name="csY2" fmla="*/ 0 h 356234"/>
              <a:gd name="csX3" fmla="*/ 1729640 w 1729640"/>
              <a:gd name="csY3" fmla="*/ 0 h 356234"/>
              <a:gd name="csX4" fmla="*/ 1662685 w 1729640"/>
              <a:gd name="csY4" fmla="*/ 2744 h 356234"/>
              <a:gd name="csX5" fmla="*/ 541319 w 1729640"/>
              <a:gd name="csY5" fmla="*/ 354797 h 356234"/>
            </a:gdLst>
            <a:ahLst/>
            <a:cxnLst>
              <a:cxn ang="0">
                <a:pos x="csX0" y="csY0"/>
              </a:cxn>
              <a:cxn ang="0">
                <a:pos x="csX1" y="csY1"/>
              </a:cxn>
              <a:cxn ang="0">
                <a:pos x="csX2" y="csY2"/>
              </a:cxn>
              <a:cxn ang="0">
                <a:pos x="csX3" y="csY3"/>
              </a:cxn>
              <a:cxn ang="0">
                <a:pos x="csX4" y="csY4"/>
              </a:cxn>
              <a:cxn ang="0">
                <a:pos x="csX5" y="csY5"/>
              </a:cxn>
            </a:cxnLst>
            <a:rect l="l" t="t" r="r" b="b"/>
            <a:pathLst>
              <a:path w="1729640" h="356234">
                <a:moveTo>
                  <a:pt x="541319" y="354797"/>
                </a:moveTo>
                <a:cubicBezTo>
                  <a:pt x="398867" y="363020"/>
                  <a:pt x="227924" y="336876"/>
                  <a:pt x="0" y="252540"/>
                </a:cubicBezTo>
                <a:lnTo>
                  <a:pt x="0" y="0"/>
                </a:lnTo>
                <a:lnTo>
                  <a:pt x="1729640" y="0"/>
                </a:lnTo>
                <a:lnTo>
                  <a:pt x="1662685" y="2744"/>
                </a:lnTo>
                <a:cubicBezTo>
                  <a:pt x="1109347" y="49672"/>
                  <a:pt x="933063" y="332184"/>
                  <a:pt x="541319" y="354797"/>
                </a:cubicBezTo>
                <a:close/>
              </a:path>
            </a:pathLst>
          </a:custGeom>
          <a:solidFill>
            <a:srgbClr val="E0D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grpSp>
    <xdr:clientData/>
  </xdr:twoCellAnchor>
  <xdr:twoCellAnchor>
    <xdr:from>
      <xdr:col>10</xdr:col>
      <xdr:colOff>567099</xdr:colOff>
      <xdr:row>5</xdr:row>
      <xdr:rowOff>70846</xdr:rowOff>
    </xdr:from>
    <xdr:to>
      <xdr:col>11</xdr:col>
      <xdr:colOff>426267</xdr:colOff>
      <xdr:row>7</xdr:row>
      <xdr:rowOff>28503</xdr:rowOff>
    </xdr:to>
    <xdr:sp macro="" textlink="">
      <xdr:nvSpPr>
        <xdr:cNvPr id="15" name="Rectangle: Rounded Corners 14">
          <a:extLst>
            <a:ext uri="{FF2B5EF4-FFF2-40B4-BE49-F238E27FC236}">
              <a16:creationId xmlns:a16="http://schemas.microsoft.com/office/drawing/2014/main" id="{4ECB57A0-0B73-918C-10C1-5AE908740773}"/>
            </a:ext>
          </a:extLst>
        </xdr:cNvPr>
        <xdr:cNvSpPr/>
      </xdr:nvSpPr>
      <xdr:spPr>
        <a:xfrm>
          <a:off x="6053499" y="1023346"/>
          <a:ext cx="468768" cy="338657"/>
        </a:xfrm>
        <a:prstGeom prst="roundRect">
          <a:avLst>
            <a:gd name="adj" fmla="val 19980"/>
          </a:avLst>
        </a:prstGeom>
        <a:solidFill>
          <a:srgbClr val="736FC2"/>
        </a:solidFill>
        <a:ln>
          <a:noFill/>
        </a:ln>
        <a:effectLst>
          <a:innerShdw blurRad="63500" dist="1905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lientData/>
  </xdr:twoCellAnchor>
  <xdr:twoCellAnchor>
    <xdr:from>
      <xdr:col>11</xdr:col>
      <xdr:colOff>399062</xdr:colOff>
      <xdr:row>5</xdr:row>
      <xdr:rowOff>37864</xdr:rowOff>
    </xdr:from>
    <xdr:to>
      <xdr:col>13</xdr:col>
      <xdr:colOff>498669</xdr:colOff>
      <xdr:row>6</xdr:row>
      <xdr:rowOff>32030</xdr:rowOff>
    </xdr:to>
    <xdr:sp macro="" textlink="">
      <xdr:nvSpPr>
        <xdr:cNvPr id="16" name="TextBox 26">
          <a:extLst>
            <a:ext uri="{FF2B5EF4-FFF2-40B4-BE49-F238E27FC236}">
              <a16:creationId xmlns:a16="http://schemas.microsoft.com/office/drawing/2014/main" id="{A41CC437-E74E-D330-FB49-367AA9DE8BFF}"/>
            </a:ext>
          </a:extLst>
        </xdr:cNvPr>
        <xdr:cNvSpPr txBox="1"/>
      </xdr:nvSpPr>
      <xdr:spPr>
        <a:xfrm>
          <a:off x="6495062" y="990364"/>
          <a:ext cx="1318807"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Average Vehicle Price (USD)</a:t>
          </a:r>
        </a:p>
      </xdr:txBody>
    </xdr:sp>
    <xdr:clientData/>
  </xdr:twoCellAnchor>
  <xdr:twoCellAnchor>
    <xdr:from>
      <xdr:col>14</xdr:col>
      <xdr:colOff>155171</xdr:colOff>
      <xdr:row>6</xdr:row>
      <xdr:rowOff>151196</xdr:rowOff>
    </xdr:from>
    <xdr:to>
      <xdr:col>17</xdr:col>
      <xdr:colOff>83728</xdr:colOff>
      <xdr:row>7</xdr:row>
      <xdr:rowOff>100396</xdr:rowOff>
    </xdr:to>
    <xdr:grpSp>
      <xdr:nvGrpSpPr>
        <xdr:cNvPr id="17" name="Group 16">
          <a:extLst>
            <a:ext uri="{FF2B5EF4-FFF2-40B4-BE49-F238E27FC236}">
              <a16:creationId xmlns:a16="http://schemas.microsoft.com/office/drawing/2014/main" id="{6C5E4276-FD16-B108-23A4-A5FB59E46EC4}"/>
            </a:ext>
          </a:extLst>
        </xdr:cNvPr>
        <xdr:cNvGrpSpPr/>
      </xdr:nvGrpSpPr>
      <xdr:grpSpPr>
        <a:xfrm>
          <a:off x="8689571" y="1294196"/>
          <a:ext cx="1757357" cy="139700"/>
          <a:chOff x="2476500" y="1701800"/>
          <a:chExt cx="1968500" cy="139700"/>
        </a:xfrm>
      </xdr:grpSpPr>
      <xdr:cxnSp macro="">
        <xdr:nvCxnSpPr>
          <xdr:cNvPr id="64" name="Straight Connector 63">
            <a:extLst>
              <a:ext uri="{FF2B5EF4-FFF2-40B4-BE49-F238E27FC236}">
                <a16:creationId xmlns:a16="http://schemas.microsoft.com/office/drawing/2014/main" id="{2F98EB84-F113-FC82-6344-38FA22920FDA}"/>
              </a:ext>
            </a:extLst>
          </xdr:cNvPr>
          <xdr:cNvCxnSpPr>
            <a:cxnSpLocks/>
          </xdr:cNvCxnSpPr>
        </xdr:nvCxnSpPr>
        <xdr:spPr>
          <a:xfrm>
            <a:off x="2476500" y="1841500"/>
            <a:ext cx="1968500"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sp macro="" textlink="">
        <xdr:nvSpPr>
          <xdr:cNvPr id="65" name="Freeform: Shape 64">
            <a:extLst>
              <a:ext uri="{FF2B5EF4-FFF2-40B4-BE49-F238E27FC236}">
                <a16:creationId xmlns:a16="http://schemas.microsoft.com/office/drawing/2014/main" id="{495864C6-161D-19B5-D2A2-73D536DA2D20}"/>
              </a:ext>
            </a:extLst>
          </xdr:cNvPr>
          <xdr:cNvSpPr/>
        </xdr:nvSpPr>
        <xdr:spPr>
          <a:xfrm flipH="1" flipV="1">
            <a:off x="3878349" y="1701800"/>
            <a:ext cx="566651" cy="139700"/>
          </a:xfrm>
          <a:custGeom>
            <a:avLst/>
            <a:gdLst>
              <a:gd name="csX0" fmla="*/ 541319 w 1729640"/>
              <a:gd name="csY0" fmla="*/ 354797 h 356234"/>
              <a:gd name="csX1" fmla="*/ 0 w 1729640"/>
              <a:gd name="csY1" fmla="*/ 252540 h 356234"/>
              <a:gd name="csX2" fmla="*/ 0 w 1729640"/>
              <a:gd name="csY2" fmla="*/ 0 h 356234"/>
              <a:gd name="csX3" fmla="*/ 1729640 w 1729640"/>
              <a:gd name="csY3" fmla="*/ 0 h 356234"/>
              <a:gd name="csX4" fmla="*/ 1662685 w 1729640"/>
              <a:gd name="csY4" fmla="*/ 2744 h 356234"/>
              <a:gd name="csX5" fmla="*/ 541319 w 1729640"/>
              <a:gd name="csY5" fmla="*/ 354797 h 356234"/>
            </a:gdLst>
            <a:ahLst/>
            <a:cxnLst>
              <a:cxn ang="0">
                <a:pos x="csX0" y="csY0"/>
              </a:cxn>
              <a:cxn ang="0">
                <a:pos x="csX1" y="csY1"/>
              </a:cxn>
              <a:cxn ang="0">
                <a:pos x="csX2" y="csY2"/>
              </a:cxn>
              <a:cxn ang="0">
                <a:pos x="csX3" y="csY3"/>
              </a:cxn>
              <a:cxn ang="0">
                <a:pos x="csX4" y="csY4"/>
              </a:cxn>
              <a:cxn ang="0">
                <a:pos x="csX5" y="csY5"/>
              </a:cxn>
            </a:cxnLst>
            <a:rect l="l" t="t" r="r" b="b"/>
            <a:pathLst>
              <a:path w="1729640" h="356234">
                <a:moveTo>
                  <a:pt x="541319" y="354797"/>
                </a:moveTo>
                <a:cubicBezTo>
                  <a:pt x="398867" y="363020"/>
                  <a:pt x="227924" y="336876"/>
                  <a:pt x="0" y="252540"/>
                </a:cubicBezTo>
                <a:lnTo>
                  <a:pt x="0" y="0"/>
                </a:lnTo>
                <a:lnTo>
                  <a:pt x="1729640" y="0"/>
                </a:lnTo>
                <a:lnTo>
                  <a:pt x="1662685" y="2744"/>
                </a:lnTo>
                <a:cubicBezTo>
                  <a:pt x="1109347" y="49672"/>
                  <a:pt x="933063" y="332184"/>
                  <a:pt x="541319" y="354797"/>
                </a:cubicBezTo>
                <a:close/>
              </a:path>
            </a:pathLst>
          </a:custGeom>
          <a:solidFill>
            <a:srgbClr val="E0D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grpSp>
    <xdr:clientData/>
  </xdr:twoCellAnchor>
  <xdr:twoCellAnchor>
    <xdr:from>
      <xdr:col>14</xdr:col>
      <xdr:colOff>155169</xdr:colOff>
      <xdr:row>5</xdr:row>
      <xdr:rowOff>70846</xdr:rowOff>
    </xdr:from>
    <xdr:to>
      <xdr:col>15</xdr:col>
      <xdr:colOff>14337</xdr:colOff>
      <xdr:row>7</xdr:row>
      <xdr:rowOff>28503</xdr:rowOff>
    </xdr:to>
    <xdr:sp macro="" textlink="">
      <xdr:nvSpPr>
        <xdr:cNvPr id="18" name="Rectangle: Rounded Corners 17">
          <a:extLst>
            <a:ext uri="{FF2B5EF4-FFF2-40B4-BE49-F238E27FC236}">
              <a16:creationId xmlns:a16="http://schemas.microsoft.com/office/drawing/2014/main" id="{117D45F5-2400-E0A7-21AF-CF0CDFA6B845}"/>
            </a:ext>
          </a:extLst>
        </xdr:cNvPr>
        <xdr:cNvSpPr/>
      </xdr:nvSpPr>
      <xdr:spPr>
        <a:xfrm>
          <a:off x="8079969" y="1023346"/>
          <a:ext cx="468768" cy="338657"/>
        </a:xfrm>
        <a:prstGeom prst="roundRect">
          <a:avLst>
            <a:gd name="adj" fmla="val 19980"/>
          </a:avLst>
        </a:prstGeom>
        <a:solidFill>
          <a:srgbClr val="CB8494"/>
        </a:solidFill>
        <a:ln>
          <a:noFill/>
        </a:ln>
        <a:effectLst>
          <a:innerShdw blurRad="63500" dist="1905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lientData/>
  </xdr:twoCellAnchor>
  <xdr:twoCellAnchor>
    <xdr:from>
      <xdr:col>14</xdr:col>
      <xdr:colOff>601898</xdr:colOff>
      <xdr:row>5</xdr:row>
      <xdr:rowOff>37864</xdr:rowOff>
    </xdr:from>
    <xdr:to>
      <xdr:col>17</xdr:col>
      <xdr:colOff>14254</xdr:colOff>
      <xdr:row>6</xdr:row>
      <xdr:rowOff>32030</xdr:rowOff>
    </xdr:to>
    <xdr:sp macro="" textlink="">
      <xdr:nvSpPr>
        <xdr:cNvPr id="19" name="TextBox 27">
          <a:extLst>
            <a:ext uri="{FF2B5EF4-FFF2-40B4-BE49-F238E27FC236}">
              <a16:creationId xmlns:a16="http://schemas.microsoft.com/office/drawing/2014/main" id="{739E4F87-D528-DECC-A230-0CE08DC6DD80}"/>
            </a:ext>
          </a:extLst>
        </xdr:cNvPr>
        <xdr:cNvSpPr txBox="1"/>
      </xdr:nvSpPr>
      <xdr:spPr>
        <a:xfrm>
          <a:off x="8526698" y="990364"/>
          <a:ext cx="1241156"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Average Horsepower</a:t>
          </a:r>
        </a:p>
      </xdr:txBody>
    </xdr:sp>
    <xdr:clientData/>
  </xdr:twoCellAnchor>
  <xdr:twoCellAnchor>
    <xdr:from>
      <xdr:col>0</xdr:col>
      <xdr:colOff>233732</xdr:colOff>
      <xdr:row>4</xdr:row>
      <xdr:rowOff>138600</xdr:rowOff>
    </xdr:from>
    <xdr:to>
      <xdr:col>3</xdr:col>
      <xdr:colOff>606715</xdr:colOff>
      <xdr:row>35</xdr:row>
      <xdr:rowOff>68094</xdr:rowOff>
    </xdr:to>
    <xdr:sp macro="" textlink="">
      <xdr:nvSpPr>
        <xdr:cNvPr id="20" name="Rectangle 19">
          <a:extLst>
            <a:ext uri="{FF2B5EF4-FFF2-40B4-BE49-F238E27FC236}">
              <a16:creationId xmlns:a16="http://schemas.microsoft.com/office/drawing/2014/main" id="{4E7F6948-F3FF-252E-2712-2EAA49D0C4C7}"/>
            </a:ext>
          </a:extLst>
        </xdr:cNvPr>
        <xdr:cNvSpPr/>
      </xdr:nvSpPr>
      <xdr:spPr>
        <a:xfrm>
          <a:off x="233732" y="900600"/>
          <a:ext cx="2201783" cy="5834994"/>
        </a:xfrm>
        <a:prstGeom prst="rect">
          <a:avLst/>
        </a:prstGeom>
        <a:gradFill flip="none" rotWithShape="1">
          <a:gsLst>
            <a:gs pos="0">
              <a:srgbClr val="A9ACD8"/>
            </a:gs>
            <a:gs pos="35000">
              <a:srgbClr val="A9ACD8"/>
            </a:gs>
            <a:gs pos="100000">
              <a:srgbClr val="5C57AF"/>
            </a:gs>
          </a:gsLst>
          <a:path path="circle">
            <a:fillToRect l="50000" t="50000" r="50000" b="50000"/>
          </a:path>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352841</xdr:colOff>
      <xdr:row>6</xdr:row>
      <xdr:rowOff>151196</xdr:rowOff>
    </xdr:from>
    <xdr:to>
      <xdr:col>20</xdr:col>
      <xdr:colOff>281398</xdr:colOff>
      <xdr:row>7</xdr:row>
      <xdr:rowOff>100396</xdr:rowOff>
    </xdr:to>
    <xdr:grpSp>
      <xdr:nvGrpSpPr>
        <xdr:cNvPr id="21" name="Group 20">
          <a:extLst>
            <a:ext uri="{FF2B5EF4-FFF2-40B4-BE49-F238E27FC236}">
              <a16:creationId xmlns:a16="http://schemas.microsoft.com/office/drawing/2014/main" id="{45CE7C7B-51F0-F644-6690-1758AC127622}"/>
            </a:ext>
          </a:extLst>
        </xdr:cNvPr>
        <xdr:cNvGrpSpPr/>
      </xdr:nvGrpSpPr>
      <xdr:grpSpPr>
        <a:xfrm>
          <a:off x="10716041" y="1294196"/>
          <a:ext cx="1757357" cy="139700"/>
          <a:chOff x="2476500" y="1701800"/>
          <a:chExt cx="1968500" cy="139700"/>
        </a:xfrm>
      </xdr:grpSpPr>
      <xdr:cxnSp macro="">
        <xdr:nvCxnSpPr>
          <xdr:cNvPr id="62" name="Straight Connector 61">
            <a:extLst>
              <a:ext uri="{FF2B5EF4-FFF2-40B4-BE49-F238E27FC236}">
                <a16:creationId xmlns:a16="http://schemas.microsoft.com/office/drawing/2014/main" id="{63937782-D91A-3CB7-D24C-B2BD340C0F9A}"/>
              </a:ext>
            </a:extLst>
          </xdr:cNvPr>
          <xdr:cNvCxnSpPr>
            <a:cxnSpLocks/>
          </xdr:cNvCxnSpPr>
        </xdr:nvCxnSpPr>
        <xdr:spPr>
          <a:xfrm>
            <a:off x="2476500" y="1841500"/>
            <a:ext cx="1968500"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sp macro="" textlink="">
        <xdr:nvSpPr>
          <xdr:cNvPr id="63" name="Freeform: Shape 62">
            <a:extLst>
              <a:ext uri="{FF2B5EF4-FFF2-40B4-BE49-F238E27FC236}">
                <a16:creationId xmlns:a16="http://schemas.microsoft.com/office/drawing/2014/main" id="{13798966-B120-404B-311F-59A1A6822C15}"/>
              </a:ext>
            </a:extLst>
          </xdr:cNvPr>
          <xdr:cNvSpPr/>
        </xdr:nvSpPr>
        <xdr:spPr>
          <a:xfrm flipH="1" flipV="1">
            <a:off x="3878349" y="1701800"/>
            <a:ext cx="566651" cy="139700"/>
          </a:xfrm>
          <a:custGeom>
            <a:avLst/>
            <a:gdLst>
              <a:gd name="csX0" fmla="*/ 541319 w 1729640"/>
              <a:gd name="csY0" fmla="*/ 354797 h 356234"/>
              <a:gd name="csX1" fmla="*/ 0 w 1729640"/>
              <a:gd name="csY1" fmla="*/ 252540 h 356234"/>
              <a:gd name="csX2" fmla="*/ 0 w 1729640"/>
              <a:gd name="csY2" fmla="*/ 0 h 356234"/>
              <a:gd name="csX3" fmla="*/ 1729640 w 1729640"/>
              <a:gd name="csY3" fmla="*/ 0 h 356234"/>
              <a:gd name="csX4" fmla="*/ 1662685 w 1729640"/>
              <a:gd name="csY4" fmla="*/ 2744 h 356234"/>
              <a:gd name="csX5" fmla="*/ 541319 w 1729640"/>
              <a:gd name="csY5" fmla="*/ 354797 h 356234"/>
            </a:gdLst>
            <a:ahLst/>
            <a:cxnLst>
              <a:cxn ang="0">
                <a:pos x="csX0" y="csY0"/>
              </a:cxn>
              <a:cxn ang="0">
                <a:pos x="csX1" y="csY1"/>
              </a:cxn>
              <a:cxn ang="0">
                <a:pos x="csX2" y="csY2"/>
              </a:cxn>
              <a:cxn ang="0">
                <a:pos x="csX3" y="csY3"/>
              </a:cxn>
              <a:cxn ang="0">
                <a:pos x="csX4" y="csY4"/>
              </a:cxn>
              <a:cxn ang="0">
                <a:pos x="csX5" y="csY5"/>
              </a:cxn>
            </a:cxnLst>
            <a:rect l="l" t="t" r="r" b="b"/>
            <a:pathLst>
              <a:path w="1729640" h="356234">
                <a:moveTo>
                  <a:pt x="541319" y="354797"/>
                </a:moveTo>
                <a:cubicBezTo>
                  <a:pt x="398867" y="363020"/>
                  <a:pt x="227924" y="336876"/>
                  <a:pt x="0" y="252540"/>
                </a:cubicBezTo>
                <a:lnTo>
                  <a:pt x="0" y="0"/>
                </a:lnTo>
                <a:lnTo>
                  <a:pt x="1729640" y="0"/>
                </a:lnTo>
                <a:lnTo>
                  <a:pt x="1662685" y="2744"/>
                </a:lnTo>
                <a:cubicBezTo>
                  <a:pt x="1109347" y="49672"/>
                  <a:pt x="933063" y="332184"/>
                  <a:pt x="541319" y="354797"/>
                </a:cubicBezTo>
                <a:close/>
              </a:path>
            </a:pathLst>
          </a:custGeom>
          <a:solidFill>
            <a:srgbClr val="E0D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grpSp>
    <xdr:clientData/>
  </xdr:twoCellAnchor>
  <xdr:twoCellAnchor>
    <xdr:from>
      <xdr:col>17</xdr:col>
      <xdr:colOff>352839</xdr:colOff>
      <xdr:row>5</xdr:row>
      <xdr:rowOff>70846</xdr:rowOff>
    </xdr:from>
    <xdr:to>
      <xdr:col>18</xdr:col>
      <xdr:colOff>212007</xdr:colOff>
      <xdr:row>7</xdr:row>
      <xdr:rowOff>28503</xdr:rowOff>
    </xdr:to>
    <xdr:sp macro="" textlink="">
      <xdr:nvSpPr>
        <xdr:cNvPr id="22" name="Rectangle: Rounded Corners 21">
          <a:extLst>
            <a:ext uri="{FF2B5EF4-FFF2-40B4-BE49-F238E27FC236}">
              <a16:creationId xmlns:a16="http://schemas.microsoft.com/office/drawing/2014/main" id="{65D7CEF6-6C1B-79A5-C236-8AF7D854D521}"/>
            </a:ext>
          </a:extLst>
        </xdr:cNvPr>
        <xdr:cNvSpPr/>
      </xdr:nvSpPr>
      <xdr:spPr>
        <a:xfrm>
          <a:off x="10106439" y="1023346"/>
          <a:ext cx="468768" cy="338657"/>
        </a:xfrm>
        <a:prstGeom prst="roundRect">
          <a:avLst>
            <a:gd name="adj" fmla="val 19980"/>
          </a:avLst>
        </a:prstGeom>
        <a:solidFill>
          <a:schemeClr val="bg1">
            <a:lumMod val="50000"/>
          </a:schemeClr>
        </a:solidFill>
        <a:ln>
          <a:noFill/>
        </a:ln>
        <a:effectLst>
          <a:innerShdw blurRad="63500" dist="1905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lientData/>
  </xdr:twoCellAnchor>
  <xdr:twoCellAnchor>
    <xdr:from>
      <xdr:col>18</xdr:col>
      <xdr:colOff>189968</xdr:colOff>
      <xdr:row>5</xdr:row>
      <xdr:rowOff>37864</xdr:rowOff>
    </xdr:from>
    <xdr:to>
      <xdr:col>20</xdr:col>
      <xdr:colOff>72997</xdr:colOff>
      <xdr:row>6</xdr:row>
      <xdr:rowOff>32030</xdr:rowOff>
    </xdr:to>
    <xdr:sp macro="" textlink="">
      <xdr:nvSpPr>
        <xdr:cNvPr id="23" name="TextBox 52">
          <a:extLst>
            <a:ext uri="{FF2B5EF4-FFF2-40B4-BE49-F238E27FC236}">
              <a16:creationId xmlns:a16="http://schemas.microsoft.com/office/drawing/2014/main" id="{89EE1DA5-F6AD-33B3-E7D7-70A017AAD486}"/>
            </a:ext>
          </a:extLst>
        </xdr:cNvPr>
        <xdr:cNvSpPr txBox="1"/>
      </xdr:nvSpPr>
      <xdr:spPr>
        <a:xfrm>
          <a:off x="10553168" y="990364"/>
          <a:ext cx="1711829"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Total Revenue</a:t>
          </a:r>
        </a:p>
      </xdr:txBody>
    </xdr:sp>
    <xdr:clientData/>
  </xdr:twoCellAnchor>
  <xdr:twoCellAnchor>
    <xdr:from>
      <xdr:col>13</xdr:col>
      <xdr:colOff>65526</xdr:colOff>
      <xdr:row>30</xdr:row>
      <xdr:rowOff>168818</xdr:rowOff>
    </xdr:from>
    <xdr:to>
      <xdr:col>15</xdr:col>
      <xdr:colOff>69738</xdr:colOff>
      <xdr:row>32</xdr:row>
      <xdr:rowOff>18650</xdr:rowOff>
    </xdr:to>
    <xdr:sp macro="" textlink="">
      <xdr:nvSpPr>
        <xdr:cNvPr id="24" name="TextBox 62">
          <a:extLst>
            <a:ext uri="{FF2B5EF4-FFF2-40B4-BE49-F238E27FC236}">
              <a16:creationId xmlns:a16="http://schemas.microsoft.com/office/drawing/2014/main" id="{41850B5B-AA23-8236-C3B0-D62A8B258629}"/>
            </a:ext>
          </a:extLst>
        </xdr:cNvPr>
        <xdr:cNvSpPr txBox="1"/>
      </xdr:nvSpPr>
      <xdr:spPr>
        <a:xfrm>
          <a:off x="7380726" y="5883818"/>
          <a:ext cx="1223412" cy="2308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a:solidFill>
                <a:srgbClr val="3F4474"/>
              </a:solidFill>
              <a:latin typeface="Antenna Purina Medium" pitchFamily="2" charset="0"/>
              <a:cs typeface="Antenna Purina Medium" pitchFamily="2" charset="0"/>
            </a:rPr>
            <a:t>Data Overview   &gt;</a:t>
          </a:r>
        </a:p>
      </xdr:txBody>
    </xdr:sp>
    <xdr:clientData/>
  </xdr:twoCellAnchor>
  <xdr:twoCellAnchor>
    <xdr:from>
      <xdr:col>15</xdr:col>
      <xdr:colOff>69738</xdr:colOff>
      <xdr:row>31</xdr:row>
      <xdr:rowOff>93734</xdr:rowOff>
    </xdr:from>
    <xdr:to>
      <xdr:col>20</xdr:col>
      <xdr:colOff>191512</xdr:colOff>
      <xdr:row>31</xdr:row>
      <xdr:rowOff>101429</xdr:rowOff>
    </xdr:to>
    <xdr:cxnSp macro="">
      <xdr:nvCxnSpPr>
        <xdr:cNvPr id="25" name="Straight Connector 24">
          <a:extLst>
            <a:ext uri="{FF2B5EF4-FFF2-40B4-BE49-F238E27FC236}">
              <a16:creationId xmlns:a16="http://schemas.microsoft.com/office/drawing/2014/main" id="{DDF5741E-D04E-8F7F-CB84-3132E664D0AF}"/>
            </a:ext>
          </a:extLst>
        </xdr:cNvPr>
        <xdr:cNvCxnSpPr>
          <a:cxnSpLocks/>
          <a:stCxn id="24" idx="3"/>
        </xdr:cNvCxnSpPr>
      </xdr:nvCxnSpPr>
      <xdr:spPr>
        <a:xfrm>
          <a:off x="8604138" y="5999234"/>
          <a:ext cx="3169774" cy="7695"/>
        </a:xfrm>
        <a:prstGeom prst="line">
          <a:avLst/>
        </a:prstGeom>
        <a:ln w="3175">
          <a:solidFill>
            <a:srgbClr val="9C84BF"/>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498082</xdr:colOff>
      <xdr:row>31</xdr:row>
      <xdr:rowOff>101429</xdr:rowOff>
    </xdr:from>
    <xdr:to>
      <xdr:col>13</xdr:col>
      <xdr:colOff>91087</xdr:colOff>
      <xdr:row>31</xdr:row>
      <xdr:rowOff>101429</xdr:rowOff>
    </xdr:to>
    <xdr:cxnSp macro="">
      <xdr:nvCxnSpPr>
        <xdr:cNvPr id="26" name="Straight Connector 25">
          <a:extLst>
            <a:ext uri="{FF2B5EF4-FFF2-40B4-BE49-F238E27FC236}">
              <a16:creationId xmlns:a16="http://schemas.microsoft.com/office/drawing/2014/main" id="{D5793B32-70C1-8649-2E79-AD3010B22C0F}"/>
            </a:ext>
          </a:extLst>
        </xdr:cNvPr>
        <xdr:cNvCxnSpPr>
          <a:cxnSpLocks/>
        </xdr:cNvCxnSpPr>
      </xdr:nvCxnSpPr>
      <xdr:spPr>
        <a:xfrm>
          <a:off x="7203682" y="6006929"/>
          <a:ext cx="202605" cy="0"/>
        </a:xfrm>
        <a:prstGeom prst="line">
          <a:avLst/>
        </a:prstGeom>
        <a:ln w="3175">
          <a:solidFill>
            <a:srgbClr val="9C84BF"/>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471603</xdr:colOff>
      <xdr:row>32</xdr:row>
      <xdr:rowOff>89420</xdr:rowOff>
    </xdr:from>
    <xdr:to>
      <xdr:col>20</xdr:col>
      <xdr:colOff>254919</xdr:colOff>
      <xdr:row>34</xdr:row>
      <xdr:rowOff>134724</xdr:rowOff>
    </xdr:to>
    <xdr:sp macro="" textlink="">
      <xdr:nvSpPr>
        <xdr:cNvPr id="27" name="Freeform: Shape 26">
          <a:extLst>
            <a:ext uri="{FF2B5EF4-FFF2-40B4-BE49-F238E27FC236}">
              <a16:creationId xmlns:a16="http://schemas.microsoft.com/office/drawing/2014/main" id="{0711798E-6164-5F43-A06F-FBA963E42BF7}"/>
            </a:ext>
          </a:extLst>
        </xdr:cNvPr>
        <xdr:cNvSpPr/>
      </xdr:nvSpPr>
      <xdr:spPr>
        <a:xfrm>
          <a:off x="7177203" y="6185420"/>
          <a:ext cx="4660116" cy="426304"/>
        </a:xfrm>
        <a:custGeom>
          <a:avLst/>
          <a:gdLst>
            <a:gd name="csX0" fmla="*/ 0 w 4660116"/>
            <a:gd name="csY0" fmla="*/ 2 h 426304"/>
            <a:gd name="csX1" fmla="*/ 1521464 w 4660116"/>
            <a:gd name="csY1" fmla="*/ 2 h 426304"/>
            <a:gd name="csX2" fmla="*/ 1521464 w 4660116"/>
            <a:gd name="csY2" fmla="*/ 426304 h 426304"/>
            <a:gd name="csX3" fmla="*/ 0 w 4660116"/>
            <a:gd name="csY3" fmla="*/ 426304 h 426304"/>
            <a:gd name="csX4" fmla="*/ 1569326 w 4660116"/>
            <a:gd name="csY4" fmla="*/ 1 h 426304"/>
            <a:gd name="csX5" fmla="*/ 3090790 w 4660116"/>
            <a:gd name="csY5" fmla="*/ 1 h 426304"/>
            <a:gd name="csX6" fmla="*/ 3090790 w 4660116"/>
            <a:gd name="csY6" fmla="*/ 426303 h 426304"/>
            <a:gd name="csX7" fmla="*/ 1569326 w 4660116"/>
            <a:gd name="csY7" fmla="*/ 426303 h 426304"/>
            <a:gd name="csX8" fmla="*/ 3138652 w 4660116"/>
            <a:gd name="csY8" fmla="*/ 0 h 426304"/>
            <a:gd name="csX9" fmla="*/ 4660116 w 4660116"/>
            <a:gd name="csY9" fmla="*/ 0 h 426304"/>
            <a:gd name="csX10" fmla="*/ 4660116 w 4660116"/>
            <a:gd name="csY10" fmla="*/ 426302 h 426304"/>
            <a:gd name="csX11" fmla="*/ 3138652 w 4660116"/>
            <a:gd name="csY11" fmla="*/ 426302 h 4263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4660116" h="426304">
              <a:moveTo>
                <a:pt x="0" y="2"/>
              </a:moveTo>
              <a:lnTo>
                <a:pt x="1521464" y="2"/>
              </a:lnTo>
              <a:lnTo>
                <a:pt x="1521464" y="426304"/>
              </a:lnTo>
              <a:lnTo>
                <a:pt x="0" y="426304"/>
              </a:lnTo>
              <a:close/>
              <a:moveTo>
                <a:pt x="1569326" y="1"/>
              </a:moveTo>
              <a:lnTo>
                <a:pt x="3090790" y="1"/>
              </a:lnTo>
              <a:lnTo>
                <a:pt x="3090790" y="426303"/>
              </a:lnTo>
              <a:lnTo>
                <a:pt x="1569326" y="426303"/>
              </a:lnTo>
              <a:close/>
              <a:moveTo>
                <a:pt x="3138652" y="0"/>
              </a:moveTo>
              <a:lnTo>
                <a:pt x="4660116" y="0"/>
              </a:lnTo>
              <a:lnTo>
                <a:pt x="4660116" y="426302"/>
              </a:lnTo>
              <a:lnTo>
                <a:pt x="3138652" y="426302"/>
              </a:lnTo>
              <a:close/>
            </a:path>
          </a:pathLst>
        </a:custGeom>
        <a:solidFill>
          <a:schemeClr val="bg1"/>
        </a:solidFill>
        <a:ln>
          <a:noFill/>
        </a:ln>
        <a:effectLst>
          <a:outerShdw blurRad="228600" sx="99000" sy="99000" algn="ctr" rotWithShape="0">
            <a:srgbClr val="C8C7E7">
              <a:alpha val="7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557952</xdr:colOff>
      <xdr:row>34</xdr:row>
      <xdr:rowOff>62966</xdr:rowOff>
    </xdr:from>
    <xdr:to>
      <xdr:col>15</xdr:col>
      <xdr:colOff>77918</xdr:colOff>
      <xdr:row>34</xdr:row>
      <xdr:rowOff>62966</xdr:rowOff>
    </xdr:to>
    <xdr:cxnSp macro="">
      <xdr:nvCxnSpPr>
        <xdr:cNvPr id="28" name="Straight Connector 27">
          <a:extLst>
            <a:ext uri="{FF2B5EF4-FFF2-40B4-BE49-F238E27FC236}">
              <a16:creationId xmlns:a16="http://schemas.microsoft.com/office/drawing/2014/main" id="{5873F1A6-28A7-F6B9-73D8-248F0A64832D}"/>
            </a:ext>
          </a:extLst>
        </xdr:cNvPr>
        <xdr:cNvCxnSpPr>
          <a:cxnSpLocks/>
        </xdr:cNvCxnSpPr>
      </xdr:nvCxnSpPr>
      <xdr:spPr>
        <a:xfrm>
          <a:off x="7263552" y="6539966"/>
          <a:ext cx="1348766"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298478</xdr:colOff>
      <xdr:row>34</xdr:row>
      <xdr:rowOff>62966</xdr:rowOff>
    </xdr:from>
    <xdr:to>
      <xdr:col>17</xdr:col>
      <xdr:colOff>428044</xdr:colOff>
      <xdr:row>34</xdr:row>
      <xdr:rowOff>62966</xdr:rowOff>
    </xdr:to>
    <xdr:cxnSp macro="">
      <xdr:nvCxnSpPr>
        <xdr:cNvPr id="29" name="Straight Connector 28">
          <a:extLst>
            <a:ext uri="{FF2B5EF4-FFF2-40B4-BE49-F238E27FC236}">
              <a16:creationId xmlns:a16="http://schemas.microsoft.com/office/drawing/2014/main" id="{6CB2741A-C893-B9DF-940A-8FEC4216614D}"/>
            </a:ext>
          </a:extLst>
        </xdr:cNvPr>
        <xdr:cNvCxnSpPr>
          <a:cxnSpLocks/>
        </xdr:cNvCxnSpPr>
      </xdr:nvCxnSpPr>
      <xdr:spPr>
        <a:xfrm>
          <a:off x="8832878" y="6539966"/>
          <a:ext cx="1348766"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39004</xdr:colOff>
      <xdr:row>34</xdr:row>
      <xdr:rowOff>62966</xdr:rowOff>
    </xdr:from>
    <xdr:to>
      <xdr:col>20</xdr:col>
      <xdr:colOff>168570</xdr:colOff>
      <xdr:row>34</xdr:row>
      <xdr:rowOff>62966</xdr:rowOff>
    </xdr:to>
    <xdr:cxnSp macro="">
      <xdr:nvCxnSpPr>
        <xdr:cNvPr id="30" name="Straight Connector 29">
          <a:extLst>
            <a:ext uri="{FF2B5EF4-FFF2-40B4-BE49-F238E27FC236}">
              <a16:creationId xmlns:a16="http://schemas.microsoft.com/office/drawing/2014/main" id="{1D93872F-FC0F-5614-EF36-64C31AE1D290}"/>
            </a:ext>
          </a:extLst>
        </xdr:cNvPr>
        <xdr:cNvCxnSpPr>
          <a:cxnSpLocks/>
        </xdr:cNvCxnSpPr>
      </xdr:nvCxnSpPr>
      <xdr:spPr>
        <a:xfrm>
          <a:off x="10402204" y="6539966"/>
          <a:ext cx="1348766"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471603</xdr:colOff>
      <xdr:row>32</xdr:row>
      <xdr:rowOff>89888</xdr:rowOff>
    </xdr:from>
    <xdr:to>
      <xdr:col>14</xdr:col>
      <xdr:colOff>281852</xdr:colOff>
      <xdr:row>33</xdr:row>
      <xdr:rowOff>84054</xdr:rowOff>
    </xdr:to>
    <xdr:sp macro="" textlink="">
      <xdr:nvSpPr>
        <xdr:cNvPr id="31" name="TextBox 83">
          <a:extLst>
            <a:ext uri="{FF2B5EF4-FFF2-40B4-BE49-F238E27FC236}">
              <a16:creationId xmlns:a16="http://schemas.microsoft.com/office/drawing/2014/main" id="{3D3C0B70-88D3-786E-7385-FF50857917C9}"/>
            </a:ext>
          </a:extLst>
        </xdr:cNvPr>
        <xdr:cNvSpPr txBox="1"/>
      </xdr:nvSpPr>
      <xdr:spPr>
        <a:xfrm>
          <a:off x="7177203" y="6185888"/>
          <a:ext cx="1029449"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Best Selling Model   &gt;</a:t>
          </a:r>
        </a:p>
      </xdr:txBody>
    </xdr:sp>
    <xdr:clientData/>
  </xdr:twoCellAnchor>
  <xdr:twoCellAnchor>
    <xdr:from>
      <xdr:col>15</xdr:col>
      <xdr:colOff>212903</xdr:colOff>
      <xdr:row>32</xdr:row>
      <xdr:rowOff>89888</xdr:rowOff>
    </xdr:from>
    <xdr:to>
      <xdr:col>17</xdr:col>
      <xdr:colOff>245969</xdr:colOff>
      <xdr:row>33</xdr:row>
      <xdr:rowOff>84054</xdr:rowOff>
    </xdr:to>
    <xdr:sp macro="" textlink="">
      <xdr:nvSpPr>
        <xdr:cNvPr id="32" name="TextBox 84">
          <a:extLst>
            <a:ext uri="{FF2B5EF4-FFF2-40B4-BE49-F238E27FC236}">
              <a16:creationId xmlns:a16="http://schemas.microsoft.com/office/drawing/2014/main" id="{D6C9220C-0276-7143-A319-C114628183BF}"/>
            </a:ext>
          </a:extLst>
        </xdr:cNvPr>
        <xdr:cNvSpPr txBox="1"/>
      </xdr:nvSpPr>
      <xdr:spPr>
        <a:xfrm>
          <a:off x="8747303" y="6185888"/>
          <a:ext cx="1252266"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Highest Revenue Region   &gt;</a:t>
          </a:r>
        </a:p>
      </xdr:txBody>
    </xdr:sp>
    <xdr:clientData/>
  </xdr:twoCellAnchor>
  <xdr:twoCellAnchor>
    <xdr:from>
      <xdr:col>17</xdr:col>
      <xdr:colOff>563803</xdr:colOff>
      <xdr:row>32</xdr:row>
      <xdr:rowOff>89888</xdr:rowOff>
    </xdr:from>
    <xdr:to>
      <xdr:col>19</xdr:col>
      <xdr:colOff>568015</xdr:colOff>
      <xdr:row>33</xdr:row>
      <xdr:rowOff>84054</xdr:rowOff>
    </xdr:to>
    <xdr:sp macro="" textlink="">
      <xdr:nvSpPr>
        <xdr:cNvPr id="33" name="TextBox 85">
          <a:extLst>
            <a:ext uri="{FF2B5EF4-FFF2-40B4-BE49-F238E27FC236}">
              <a16:creationId xmlns:a16="http://schemas.microsoft.com/office/drawing/2014/main" id="{AF78B648-46AC-8D52-2CA6-7B56B72F5579}"/>
            </a:ext>
          </a:extLst>
        </xdr:cNvPr>
        <xdr:cNvSpPr txBox="1"/>
      </xdr:nvSpPr>
      <xdr:spPr>
        <a:xfrm>
          <a:off x="10317403" y="6185888"/>
          <a:ext cx="1223412" cy="1846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600">
              <a:solidFill>
                <a:srgbClr val="3F4474"/>
              </a:solidFill>
              <a:latin typeface="Antenna Purina Medium" pitchFamily="2" charset="0"/>
              <a:cs typeface="Antenna Purina Medium" pitchFamily="2" charset="0"/>
            </a:rPr>
            <a:t>Most Popular Fuel Type   &gt;</a:t>
          </a:r>
        </a:p>
      </xdr:txBody>
    </xdr:sp>
    <xdr:clientData/>
  </xdr:twoCellAnchor>
  <xdr:twoCellAnchor>
    <xdr:from>
      <xdr:col>12</xdr:col>
      <xdr:colOff>350654</xdr:colOff>
      <xdr:row>8</xdr:row>
      <xdr:rowOff>78974</xdr:rowOff>
    </xdr:from>
    <xdr:to>
      <xdr:col>20</xdr:col>
      <xdr:colOff>375867</xdr:colOff>
      <xdr:row>18</xdr:row>
      <xdr:rowOff>145371</xdr:rowOff>
    </xdr:to>
    <xdr:sp macro="" textlink="">
      <xdr:nvSpPr>
        <xdr:cNvPr id="34" name="Rectangle: Rounded Corners 33">
          <a:extLst>
            <a:ext uri="{FF2B5EF4-FFF2-40B4-BE49-F238E27FC236}">
              <a16:creationId xmlns:a16="http://schemas.microsoft.com/office/drawing/2014/main" id="{BBBC310C-5279-3133-715E-C0A5B5EE1ADD}"/>
            </a:ext>
          </a:extLst>
        </xdr:cNvPr>
        <xdr:cNvSpPr/>
      </xdr:nvSpPr>
      <xdr:spPr>
        <a:xfrm>
          <a:off x="7056254" y="1602974"/>
          <a:ext cx="4902013" cy="1971397"/>
        </a:xfrm>
        <a:prstGeom prst="roundRect">
          <a:avLst>
            <a:gd name="adj" fmla="val 4160"/>
          </a:avLst>
        </a:prstGeom>
        <a:solidFill>
          <a:schemeClr val="bg1"/>
        </a:solidFill>
        <a:ln>
          <a:noFill/>
        </a:ln>
        <a:effectLst>
          <a:outerShdw blurRad="63500" sx="102000" sy="102000" algn="ctr" rotWithShape="0">
            <a:srgbClr val="E0DEF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350655</xdr:colOff>
      <xdr:row>19</xdr:row>
      <xdr:rowOff>44634</xdr:rowOff>
    </xdr:from>
    <xdr:to>
      <xdr:col>16</xdr:col>
      <xdr:colOff>316730</xdr:colOff>
      <xdr:row>30</xdr:row>
      <xdr:rowOff>26880</xdr:rowOff>
    </xdr:to>
    <xdr:sp macro="" textlink="">
      <xdr:nvSpPr>
        <xdr:cNvPr id="35" name="Rectangle: Rounded Corners 34">
          <a:extLst>
            <a:ext uri="{FF2B5EF4-FFF2-40B4-BE49-F238E27FC236}">
              <a16:creationId xmlns:a16="http://schemas.microsoft.com/office/drawing/2014/main" id="{E7B6A652-7BA8-AFDE-820F-42ADAAF72DD0}"/>
            </a:ext>
          </a:extLst>
        </xdr:cNvPr>
        <xdr:cNvSpPr/>
      </xdr:nvSpPr>
      <xdr:spPr>
        <a:xfrm>
          <a:off x="7056255" y="3664134"/>
          <a:ext cx="2404475" cy="2077746"/>
        </a:xfrm>
        <a:prstGeom prst="roundRect">
          <a:avLst>
            <a:gd name="adj" fmla="val 5106"/>
          </a:avLst>
        </a:prstGeom>
        <a:solidFill>
          <a:schemeClr val="bg1"/>
        </a:solidFill>
        <a:ln>
          <a:noFill/>
        </a:ln>
        <a:effectLst>
          <a:outerShdw blurRad="63500" sx="102000" sy="102000" algn="ctr" rotWithShape="0">
            <a:srgbClr val="E0DEF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111289</xdr:colOff>
      <xdr:row>8</xdr:row>
      <xdr:rowOff>78974</xdr:rowOff>
    </xdr:from>
    <xdr:to>
      <xdr:col>12</xdr:col>
      <xdr:colOff>257593</xdr:colOff>
      <xdr:row>18</xdr:row>
      <xdr:rowOff>145371</xdr:rowOff>
    </xdr:to>
    <xdr:sp macro="" textlink="">
      <xdr:nvSpPr>
        <xdr:cNvPr id="36" name="Rectangle: Rounded Corners 35">
          <a:extLst>
            <a:ext uri="{FF2B5EF4-FFF2-40B4-BE49-F238E27FC236}">
              <a16:creationId xmlns:a16="http://schemas.microsoft.com/office/drawing/2014/main" id="{2254FD33-E30B-9E67-DB22-F2CC7DE60B00}"/>
            </a:ext>
          </a:extLst>
        </xdr:cNvPr>
        <xdr:cNvSpPr/>
      </xdr:nvSpPr>
      <xdr:spPr>
        <a:xfrm>
          <a:off x="4988089" y="1602974"/>
          <a:ext cx="1975104" cy="1971397"/>
        </a:xfrm>
        <a:prstGeom prst="roundRect">
          <a:avLst>
            <a:gd name="adj" fmla="val 5425"/>
          </a:avLst>
        </a:prstGeom>
        <a:solidFill>
          <a:schemeClr val="bg1"/>
        </a:solidFill>
        <a:ln>
          <a:noFill/>
        </a:ln>
        <a:effectLst>
          <a:outerShdw blurRad="63500" sx="102000" sy="102000" algn="ctr" rotWithShape="0">
            <a:srgbClr val="E0DEF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90176</xdr:colOff>
      <xdr:row>8</xdr:row>
      <xdr:rowOff>78974</xdr:rowOff>
    </xdr:from>
    <xdr:to>
      <xdr:col>9</xdr:col>
      <xdr:colOff>18228</xdr:colOff>
      <xdr:row>18</xdr:row>
      <xdr:rowOff>145371</xdr:rowOff>
    </xdr:to>
    <xdr:sp macro="" textlink="">
      <xdr:nvSpPr>
        <xdr:cNvPr id="37" name="Rectangle: Rounded Corners 36">
          <a:extLst>
            <a:ext uri="{FF2B5EF4-FFF2-40B4-BE49-F238E27FC236}">
              <a16:creationId xmlns:a16="http://schemas.microsoft.com/office/drawing/2014/main" id="{2AC642A9-2902-5967-7267-743CDA051F45}"/>
            </a:ext>
          </a:extLst>
        </xdr:cNvPr>
        <xdr:cNvSpPr/>
      </xdr:nvSpPr>
      <xdr:spPr>
        <a:xfrm>
          <a:off x="1918976" y="1602974"/>
          <a:ext cx="2976052" cy="1971397"/>
        </a:xfrm>
        <a:prstGeom prst="roundRect">
          <a:avLst>
            <a:gd name="adj" fmla="val 7112"/>
          </a:avLst>
        </a:prstGeom>
        <a:solidFill>
          <a:schemeClr val="bg1"/>
        </a:solidFill>
        <a:ln>
          <a:noFill/>
        </a:ln>
        <a:effectLst>
          <a:outerShdw blurRad="63500" sx="102000" sy="102000" algn="ctr" rotWithShape="0">
            <a:srgbClr val="E0DEF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87950</xdr:colOff>
      <xdr:row>19</xdr:row>
      <xdr:rowOff>44635</xdr:rowOff>
    </xdr:from>
    <xdr:to>
      <xdr:col>12</xdr:col>
      <xdr:colOff>255368</xdr:colOff>
      <xdr:row>26</xdr:row>
      <xdr:rowOff>109450</xdr:rowOff>
    </xdr:to>
    <xdr:sp macro="" textlink="">
      <xdr:nvSpPr>
        <xdr:cNvPr id="38" name="Rectangle: Rounded Corners 37">
          <a:extLst>
            <a:ext uri="{FF2B5EF4-FFF2-40B4-BE49-F238E27FC236}">
              <a16:creationId xmlns:a16="http://schemas.microsoft.com/office/drawing/2014/main" id="{6F7A6576-2EF7-1A9D-9FE0-A13ACBB15005}"/>
            </a:ext>
          </a:extLst>
        </xdr:cNvPr>
        <xdr:cNvSpPr/>
      </xdr:nvSpPr>
      <xdr:spPr>
        <a:xfrm>
          <a:off x="1916750" y="3664135"/>
          <a:ext cx="5044218" cy="1398315"/>
        </a:xfrm>
        <a:prstGeom prst="roundRect">
          <a:avLst>
            <a:gd name="adj" fmla="val 10105"/>
          </a:avLst>
        </a:prstGeom>
        <a:solidFill>
          <a:schemeClr val="bg1"/>
        </a:solidFill>
        <a:ln>
          <a:noFill/>
        </a:ln>
        <a:effectLst>
          <a:outerShdw blurRad="63500" sx="102000" sy="102000" algn="ctr" rotWithShape="0">
            <a:srgbClr val="E0DEF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409792</xdr:colOff>
      <xdr:row>19</xdr:row>
      <xdr:rowOff>44634</xdr:rowOff>
    </xdr:from>
    <xdr:to>
      <xdr:col>20</xdr:col>
      <xdr:colOff>375867</xdr:colOff>
      <xdr:row>30</xdr:row>
      <xdr:rowOff>26880</xdr:rowOff>
    </xdr:to>
    <xdr:sp macro="" textlink="">
      <xdr:nvSpPr>
        <xdr:cNvPr id="39" name="Rectangle: Rounded Corners 38">
          <a:extLst>
            <a:ext uri="{FF2B5EF4-FFF2-40B4-BE49-F238E27FC236}">
              <a16:creationId xmlns:a16="http://schemas.microsoft.com/office/drawing/2014/main" id="{E0496C1D-6BEE-5142-B865-617D5F9D6366}"/>
            </a:ext>
          </a:extLst>
        </xdr:cNvPr>
        <xdr:cNvSpPr/>
      </xdr:nvSpPr>
      <xdr:spPr>
        <a:xfrm>
          <a:off x="9553792" y="3664134"/>
          <a:ext cx="2404475" cy="2077746"/>
        </a:xfrm>
        <a:prstGeom prst="roundRect">
          <a:avLst>
            <a:gd name="adj" fmla="val 5106"/>
          </a:avLst>
        </a:prstGeom>
        <a:solidFill>
          <a:schemeClr val="bg1"/>
        </a:solidFill>
        <a:ln>
          <a:noFill/>
        </a:ln>
        <a:effectLst>
          <a:outerShdw blurRad="63500" sx="102000" sy="102000" algn="ctr" rotWithShape="0">
            <a:srgbClr val="E0DEF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270610</xdr:colOff>
      <xdr:row>9</xdr:row>
      <xdr:rowOff>131234</xdr:rowOff>
    </xdr:from>
    <xdr:to>
      <xdr:col>8</xdr:col>
      <xdr:colOff>447394</xdr:colOff>
      <xdr:row>9</xdr:row>
      <xdr:rowOff>131234</xdr:rowOff>
    </xdr:to>
    <xdr:cxnSp macro="">
      <xdr:nvCxnSpPr>
        <xdr:cNvPr id="40" name="Straight Connector 39">
          <a:extLst>
            <a:ext uri="{FF2B5EF4-FFF2-40B4-BE49-F238E27FC236}">
              <a16:creationId xmlns:a16="http://schemas.microsoft.com/office/drawing/2014/main" id="{A658CA5D-D6E3-3A9E-BA32-A5CFA76E79D9}"/>
            </a:ext>
          </a:extLst>
        </xdr:cNvPr>
        <xdr:cNvCxnSpPr>
          <a:cxnSpLocks/>
        </xdr:cNvCxnSpPr>
      </xdr:nvCxnSpPr>
      <xdr:spPr>
        <a:xfrm>
          <a:off x="2099410" y="1845734"/>
          <a:ext cx="2615184"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294169</xdr:colOff>
      <xdr:row>9</xdr:row>
      <xdr:rowOff>131234</xdr:rowOff>
    </xdr:from>
    <xdr:to>
      <xdr:col>12</xdr:col>
      <xdr:colOff>74713</xdr:colOff>
      <xdr:row>9</xdr:row>
      <xdr:rowOff>131234</xdr:rowOff>
    </xdr:to>
    <xdr:cxnSp macro="">
      <xdr:nvCxnSpPr>
        <xdr:cNvPr id="41" name="Straight Connector 40">
          <a:extLst>
            <a:ext uri="{FF2B5EF4-FFF2-40B4-BE49-F238E27FC236}">
              <a16:creationId xmlns:a16="http://schemas.microsoft.com/office/drawing/2014/main" id="{43FB2645-C272-59F6-E03D-29601E42F452}"/>
            </a:ext>
          </a:extLst>
        </xdr:cNvPr>
        <xdr:cNvCxnSpPr>
          <a:cxnSpLocks/>
        </xdr:cNvCxnSpPr>
      </xdr:nvCxnSpPr>
      <xdr:spPr>
        <a:xfrm>
          <a:off x="5170969" y="1845734"/>
          <a:ext cx="1609344"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533948</xdr:colOff>
      <xdr:row>9</xdr:row>
      <xdr:rowOff>131234</xdr:rowOff>
    </xdr:from>
    <xdr:to>
      <xdr:col>20</xdr:col>
      <xdr:colOff>192572</xdr:colOff>
      <xdr:row>9</xdr:row>
      <xdr:rowOff>131234</xdr:rowOff>
    </xdr:to>
    <xdr:cxnSp macro="">
      <xdr:nvCxnSpPr>
        <xdr:cNvPr id="42" name="Straight Connector 41">
          <a:extLst>
            <a:ext uri="{FF2B5EF4-FFF2-40B4-BE49-F238E27FC236}">
              <a16:creationId xmlns:a16="http://schemas.microsoft.com/office/drawing/2014/main" id="{3AF9B955-1056-3183-2346-31908EFCAA91}"/>
            </a:ext>
          </a:extLst>
        </xdr:cNvPr>
        <xdr:cNvCxnSpPr>
          <a:cxnSpLocks/>
        </xdr:cNvCxnSpPr>
      </xdr:nvCxnSpPr>
      <xdr:spPr>
        <a:xfrm>
          <a:off x="7239548" y="1845734"/>
          <a:ext cx="4535424"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271420</xdr:colOff>
      <xdr:row>20</xdr:row>
      <xdr:rowOff>96895</xdr:rowOff>
    </xdr:from>
    <xdr:to>
      <xdr:col>12</xdr:col>
      <xdr:colOff>76348</xdr:colOff>
      <xdr:row>20</xdr:row>
      <xdr:rowOff>96895</xdr:rowOff>
    </xdr:to>
    <xdr:cxnSp macro="">
      <xdr:nvCxnSpPr>
        <xdr:cNvPr id="43" name="Straight Connector 42">
          <a:extLst>
            <a:ext uri="{FF2B5EF4-FFF2-40B4-BE49-F238E27FC236}">
              <a16:creationId xmlns:a16="http://schemas.microsoft.com/office/drawing/2014/main" id="{0265F357-00E3-6744-C1FC-DCBCC40FE49B}"/>
            </a:ext>
          </a:extLst>
        </xdr:cNvPr>
        <xdr:cNvCxnSpPr>
          <a:cxnSpLocks/>
        </xdr:cNvCxnSpPr>
      </xdr:nvCxnSpPr>
      <xdr:spPr>
        <a:xfrm>
          <a:off x="2100220" y="3906895"/>
          <a:ext cx="4681728"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271420</xdr:colOff>
      <xdr:row>28</xdr:row>
      <xdr:rowOff>60974</xdr:rowOff>
    </xdr:from>
    <xdr:to>
      <xdr:col>12</xdr:col>
      <xdr:colOff>76348</xdr:colOff>
      <xdr:row>28</xdr:row>
      <xdr:rowOff>60974</xdr:rowOff>
    </xdr:to>
    <xdr:cxnSp macro="">
      <xdr:nvCxnSpPr>
        <xdr:cNvPr id="44" name="Straight Connector 43">
          <a:extLst>
            <a:ext uri="{FF2B5EF4-FFF2-40B4-BE49-F238E27FC236}">
              <a16:creationId xmlns:a16="http://schemas.microsoft.com/office/drawing/2014/main" id="{F733C9BD-D48E-B0C2-CE5E-42FA9ECE828B}"/>
            </a:ext>
          </a:extLst>
        </xdr:cNvPr>
        <xdr:cNvCxnSpPr>
          <a:cxnSpLocks/>
        </xdr:cNvCxnSpPr>
      </xdr:nvCxnSpPr>
      <xdr:spPr>
        <a:xfrm>
          <a:off x="2100220" y="5394974"/>
          <a:ext cx="4681728"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533336</xdr:colOff>
      <xdr:row>20</xdr:row>
      <xdr:rowOff>96895</xdr:rowOff>
    </xdr:from>
    <xdr:to>
      <xdr:col>16</xdr:col>
      <xdr:colOff>134048</xdr:colOff>
      <xdr:row>20</xdr:row>
      <xdr:rowOff>96895</xdr:rowOff>
    </xdr:to>
    <xdr:cxnSp macro="">
      <xdr:nvCxnSpPr>
        <xdr:cNvPr id="45" name="Straight Connector 44">
          <a:extLst>
            <a:ext uri="{FF2B5EF4-FFF2-40B4-BE49-F238E27FC236}">
              <a16:creationId xmlns:a16="http://schemas.microsoft.com/office/drawing/2014/main" id="{2BBA2E7D-90B1-43B8-3807-4CA26C23A8D2}"/>
            </a:ext>
          </a:extLst>
        </xdr:cNvPr>
        <xdr:cNvCxnSpPr>
          <a:cxnSpLocks/>
        </xdr:cNvCxnSpPr>
      </xdr:nvCxnSpPr>
      <xdr:spPr>
        <a:xfrm>
          <a:off x="7238936" y="3906895"/>
          <a:ext cx="2039112"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592473</xdr:colOff>
      <xdr:row>20</xdr:row>
      <xdr:rowOff>96895</xdr:rowOff>
    </xdr:from>
    <xdr:to>
      <xdr:col>20</xdr:col>
      <xdr:colOff>193185</xdr:colOff>
      <xdr:row>20</xdr:row>
      <xdr:rowOff>96895</xdr:rowOff>
    </xdr:to>
    <xdr:cxnSp macro="">
      <xdr:nvCxnSpPr>
        <xdr:cNvPr id="46" name="Straight Connector 45">
          <a:extLst>
            <a:ext uri="{FF2B5EF4-FFF2-40B4-BE49-F238E27FC236}">
              <a16:creationId xmlns:a16="http://schemas.microsoft.com/office/drawing/2014/main" id="{9E4B22DD-0435-31B0-FA0D-647CB7AE533B}"/>
            </a:ext>
          </a:extLst>
        </xdr:cNvPr>
        <xdr:cNvCxnSpPr>
          <a:cxnSpLocks/>
        </xdr:cNvCxnSpPr>
      </xdr:nvCxnSpPr>
      <xdr:spPr>
        <a:xfrm>
          <a:off x="9736473" y="3906895"/>
          <a:ext cx="2039112" cy="0"/>
        </a:xfrm>
        <a:prstGeom prst="line">
          <a:avLst/>
        </a:prstGeom>
        <a:ln w="3175">
          <a:solidFill>
            <a:srgbClr val="E0DE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270610</xdr:colOff>
      <xdr:row>8</xdr:row>
      <xdr:rowOff>109838</xdr:rowOff>
    </xdr:from>
    <xdr:to>
      <xdr:col>6</xdr:col>
      <xdr:colOff>350163</xdr:colOff>
      <xdr:row>9</xdr:row>
      <xdr:rowOff>134782</xdr:rowOff>
    </xdr:to>
    <xdr:sp macro="" textlink="">
      <xdr:nvSpPr>
        <xdr:cNvPr id="47" name="TextBox 117">
          <a:extLst>
            <a:ext uri="{FF2B5EF4-FFF2-40B4-BE49-F238E27FC236}">
              <a16:creationId xmlns:a16="http://schemas.microsoft.com/office/drawing/2014/main" id="{A988C21D-C503-B272-2662-D41D4DD61309}"/>
            </a:ext>
          </a:extLst>
        </xdr:cNvPr>
        <xdr:cNvSpPr txBox="1"/>
      </xdr:nvSpPr>
      <xdr:spPr>
        <a:xfrm>
          <a:off x="2099410" y="1633838"/>
          <a:ext cx="1298753" cy="21544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a:solidFill>
                <a:srgbClr val="3F4474"/>
              </a:solidFill>
              <a:latin typeface="Antenna Purina Medium" pitchFamily="2" charset="0"/>
              <a:cs typeface="Antenna Purina Medium" pitchFamily="2" charset="0"/>
            </a:rPr>
            <a:t>Model Distribution   &gt;</a:t>
          </a:r>
        </a:p>
      </xdr:txBody>
    </xdr:sp>
    <xdr:clientData/>
  </xdr:twoCellAnchor>
  <xdr:twoCellAnchor>
    <xdr:from>
      <xdr:col>9</xdr:col>
      <xdr:colOff>294169</xdr:colOff>
      <xdr:row>8</xdr:row>
      <xdr:rowOff>109838</xdr:rowOff>
    </xdr:from>
    <xdr:to>
      <xdr:col>12</xdr:col>
      <xdr:colOff>43045</xdr:colOff>
      <xdr:row>9</xdr:row>
      <xdr:rowOff>134782</xdr:rowOff>
    </xdr:to>
    <xdr:sp macro="" textlink="">
      <xdr:nvSpPr>
        <xdr:cNvPr id="48" name="TextBox 118">
          <a:extLst>
            <a:ext uri="{FF2B5EF4-FFF2-40B4-BE49-F238E27FC236}">
              <a16:creationId xmlns:a16="http://schemas.microsoft.com/office/drawing/2014/main" id="{D7F5E3AB-A470-4CD3-21B9-F3AF4AB28569}"/>
            </a:ext>
          </a:extLst>
        </xdr:cNvPr>
        <xdr:cNvSpPr txBox="1"/>
      </xdr:nvSpPr>
      <xdr:spPr>
        <a:xfrm>
          <a:off x="5170969" y="1633838"/>
          <a:ext cx="1577676" cy="21544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a:solidFill>
                <a:srgbClr val="3F4474"/>
              </a:solidFill>
              <a:latin typeface="Antenna Purina Medium" pitchFamily="2" charset="0"/>
              <a:cs typeface="Antenna Purina Medium" pitchFamily="2" charset="0"/>
            </a:rPr>
            <a:t>Regional Sales Analysis   &gt;</a:t>
          </a:r>
        </a:p>
      </xdr:txBody>
    </xdr:sp>
    <xdr:clientData/>
  </xdr:twoCellAnchor>
  <xdr:twoCellAnchor>
    <xdr:from>
      <xdr:col>12</xdr:col>
      <xdr:colOff>533948</xdr:colOff>
      <xdr:row>8</xdr:row>
      <xdr:rowOff>109838</xdr:rowOff>
    </xdr:from>
    <xdr:to>
      <xdr:col>15</xdr:col>
      <xdr:colOff>23138</xdr:colOff>
      <xdr:row>9</xdr:row>
      <xdr:rowOff>134782</xdr:rowOff>
    </xdr:to>
    <xdr:sp macro="" textlink="">
      <xdr:nvSpPr>
        <xdr:cNvPr id="49" name="TextBox 119">
          <a:extLst>
            <a:ext uri="{FF2B5EF4-FFF2-40B4-BE49-F238E27FC236}">
              <a16:creationId xmlns:a16="http://schemas.microsoft.com/office/drawing/2014/main" id="{85A327E5-5200-E4E4-57F1-2B2312B2499F}"/>
            </a:ext>
          </a:extLst>
        </xdr:cNvPr>
        <xdr:cNvSpPr txBox="1"/>
      </xdr:nvSpPr>
      <xdr:spPr>
        <a:xfrm>
          <a:off x="7239548" y="1633838"/>
          <a:ext cx="1317990" cy="21544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a:solidFill>
                <a:srgbClr val="3F4474"/>
              </a:solidFill>
              <a:latin typeface="Antenna Purina Medium" pitchFamily="2" charset="0"/>
              <a:cs typeface="Antenna Purina Medium" pitchFamily="2" charset="0"/>
            </a:rPr>
            <a:t>Yearly Sales Trend   &gt;</a:t>
          </a:r>
        </a:p>
      </xdr:txBody>
    </xdr:sp>
    <xdr:clientData/>
  </xdr:twoCellAnchor>
  <xdr:twoCellAnchor>
    <xdr:from>
      <xdr:col>4</xdr:col>
      <xdr:colOff>271420</xdr:colOff>
      <xdr:row>19</xdr:row>
      <xdr:rowOff>71951</xdr:rowOff>
    </xdr:from>
    <xdr:to>
      <xdr:col>7</xdr:col>
      <xdr:colOff>200025</xdr:colOff>
      <xdr:row>20</xdr:row>
      <xdr:rowOff>94523</xdr:rowOff>
    </xdr:to>
    <xdr:sp macro="" textlink="">
      <xdr:nvSpPr>
        <xdr:cNvPr id="50" name="TextBox 120">
          <a:extLst>
            <a:ext uri="{FF2B5EF4-FFF2-40B4-BE49-F238E27FC236}">
              <a16:creationId xmlns:a16="http://schemas.microsoft.com/office/drawing/2014/main" id="{2B0730F1-D80C-87EE-E9EE-53712110109C}"/>
            </a:ext>
          </a:extLst>
        </xdr:cNvPr>
        <xdr:cNvSpPr txBox="1"/>
      </xdr:nvSpPr>
      <xdr:spPr>
        <a:xfrm>
          <a:off x="2100220" y="3691451"/>
          <a:ext cx="1757405" cy="21307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a:solidFill>
                <a:srgbClr val="3F4474"/>
              </a:solidFill>
              <a:latin typeface="Antenna Purina Medium" pitchFamily="2" charset="0"/>
              <a:cs typeface="Antenna Purina Medium" pitchFamily="2" charset="0"/>
            </a:rPr>
            <a:t>Most Popular Color   &gt;</a:t>
          </a:r>
        </a:p>
      </xdr:txBody>
    </xdr:sp>
    <xdr:clientData/>
  </xdr:twoCellAnchor>
  <xdr:twoCellAnchor>
    <xdr:from>
      <xdr:col>12</xdr:col>
      <xdr:colOff>533336</xdr:colOff>
      <xdr:row>19</xdr:row>
      <xdr:rowOff>71951</xdr:rowOff>
    </xdr:from>
    <xdr:to>
      <xdr:col>14</xdr:col>
      <xdr:colOff>550372</xdr:colOff>
      <xdr:row>20</xdr:row>
      <xdr:rowOff>96895</xdr:rowOff>
    </xdr:to>
    <xdr:sp macro="" textlink="">
      <xdr:nvSpPr>
        <xdr:cNvPr id="51" name="TextBox 121">
          <a:extLst>
            <a:ext uri="{FF2B5EF4-FFF2-40B4-BE49-F238E27FC236}">
              <a16:creationId xmlns:a16="http://schemas.microsoft.com/office/drawing/2014/main" id="{6B2FDCF8-BB8D-830A-3D25-51815D6F84EB}"/>
            </a:ext>
          </a:extLst>
        </xdr:cNvPr>
        <xdr:cNvSpPr txBox="1"/>
      </xdr:nvSpPr>
      <xdr:spPr>
        <a:xfrm>
          <a:off x="7238936" y="3691451"/>
          <a:ext cx="1236236" cy="21544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a:solidFill>
                <a:srgbClr val="3F4474"/>
              </a:solidFill>
              <a:latin typeface="Antenna Purina Medium" pitchFamily="2" charset="0"/>
              <a:cs typeface="Antenna Purina Medium" pitchFamily="2" charset="0"/>
            </a:rPr>
            <a:t>Price Distribution   &gt;</a:t>
          </a:r>
        </a:p>
      </xdr:txBody>
    </xdr:sp>
    <xdr:clientData/>
  </xdr:twoCellAnchor>
  <xdr:twoCellAnchor>
    <xdr:from>
      <xdr:col>16</xdr:col>
      <xdr:colOff>592473</xdr:colOff>
      <xdr:row>19</xdr:row>
      <xdr:rowOff>71951</xdr:rowOff>
    </xdr:from>
    <xdr:to>
      <xdr:col>19</xdr:col>
      <xdr:colOff>75251</xdr:colOff>
      <xdr:row>20</xdr:row>
      <xdr:rowOff>96895</xdr:rowOff>
    </xdr:to>
    <xdr:sp macro="" textlink="">
      <xdr:nvSpPr>
        <xdr:cNvPr id="52" name="TextBox 122">
          <a:extLst>
            <a:ext uri="{FF2B5EF4-FFF2-40B4-BE49-F238E27FC236}">
              <a16:creationId xmlns:a16="http://schemas.microsoft.com/office/drawing/2014/main" id="{8E017934-5752-A9F4-4305-FCBCAE2F0871}"/>
            </a:ext>
          </a:extLst>
        </xdr:cNvPr>
        <xdr:cNvSpPr txBox="1"/>
      </xdr:nvSpPr>
      <xdr:spPr>
        <a:xfrm>
          <a:off x="9736473" y="3691451"/>
          <a:ext cx="1311578" cy="21544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a:solidFill>
                <a:srgbClr val="3F4474"/>
              </a:solidFill>
              <a:latin typeface="Antenna Purina Medium" pitchFamily="2" charset="0"/>
              <a:cs typeface="Antenna Purina Medium" pitchFamily="2" charset="0"/>
            </a:rPr>
            <a:t>Fuel Type Analysis   &gt;</a:t>
          </a:r>
        </a:p>
      </xdr:txBody>
    </xdr:sp>
    <xdr:clientData/>
  </xdr:twoCellAnchor>
  <xdr:twoCellAnchor>
    <xdr:from>
      <xdr:col>4</xdr:col>
      <xdr:colOff>271420</xdr:colOff>
      <xdr:row>27</xdr:row>
      <xdr:rowOff>36030</xdr:rowOff>
    </xdr:from>
    <xdr:to>
      <xdr:col>7</xdr:col>
      <xdr:colOff>514350</xdr:colOff>
      <xdr:row>28</xdr:row>
      <xdr:rowOff>58602</xdr:rowOff>
    </xdr:to>
    <xdr:sp macro="" textlink="">
      <xdr:nvSpPr>
        <xdr:cNvPr id="53" name="TextBox 123">
          <a:extLst>
            <a:ext uri="{FF2B5EF4-FFF2-40B4-BE49-F238E27FC236}">
              <a16:creationId xmlns:a16="http://schemas.microsoft.com/office/drawing/2014/main" id="{3026F28C-9AB5-DBCD-7427-F97920083F35}"/>
            </a:ext>
          </a:extLst>
        </xdr:cNvPr>
        <xdr:cNvSpPr txBox="1"/>
      </xdr:nvSpPr>
      <xdr:spPr>
        <a:xfrm>
          <a:off x="2100220" y="5179530"/>
          <a:ext cx="2071730" cy="21307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a:solidFill>
                <a:srgbClr val="3F4474"/>
              </a:solidFill>
              <a:latin typeface="Antenna Purina Medium" pitchFamily="2" charset="0"/>
              <a:cs typeface="Antenna Purina Medium" pitchFamily="2" charset="0"/>
            </a:rPr>
            <a:t>Revenue Analysis by Region   &gt;</a:t>
          </a:r>
        </a:p>
      </xdr:txBody>
    </xdr:sp>
    <xdr:clientData/>
  </xdr:twoCellAnchor>
  <xdr:twoCellAnchor editAs="oneCell">
    <xdr:from>
      <xdr:col>11</xdr:col>
      <xdr:colOff>31863</xdr:colOff>
      <xdr:row>5</xdr:row>
      <xdr:rowOff>73012</xdr:rowOff>
    </xdr:from>
    <xdr:to>
      <xdr:col>11</xdr:col>
      <xdr:colOff>351903</xdr:colOff>
      <xdr:row>7</xdr:row>
      <xdr:rowOff>12052</xdr:rowOff>
    </xdr:to>
    <xdr:pic>
      <xdr:nvPicPr>
        <xdr:cNvPr id="54" name="Graphic 125" descr="Coins outline">
          <a:extLst>
            <a:ext uri="{FF2B5EF4-FFF2-40B4-BE49-F238E27FC236}">
              <a16:creationId xmlns:a16="http://schemas.microsoft.com/office/drawing/2014/main" id="{521EB54C-D6E3-3384-ABC9-0DB0A155CA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27863" y="1025512"/>
          <a:ext cx="320040" cy="320040"/>
        </a:xfrm>
        <a:prstGeom prst="rect">
          <a:avLst/>
        </a:prstGeom>
      </xdr:spPr>
    </xdr:pic>
    <xdr:clientData/>
  </xdr:twoCellAnchor>
  <xdr:twoCellAnchor editAs="oneCell">
    <xdr:from>
      <xdr:col>4</xdr:col>
      <xdr:colOff>246121</xdr:colOff>
      <xdr:row>5</xdr:row>
      <xdr:rowOff>74385</xdr:rowOff>
    </xdr:from>
    <xdr:to>
      <xdr:col>4</xdr:col>
      <xdr:colOff>566161</xdr:colOff>
      <xdr:row>7</xdr:row>
      <xdr:rowOff>13425</xdr:rowOff>
    </xdr:to>
    <xdr:pic>
      <xdr:nvPicPr>
        <xdr:cNvPr id="55" name="Graphic 127" descr="Convertible with solid fill">
          <a:extLst>
            <a:ext uri="{FF2B5EF4-FFF2-40B4-BE49-F238E27FC236}">
              <a16:creationId xmlns:a16="http://schemas.microsoft.com/office/drawing/2014/main" id="{CC699AA6-42A4-1520-EF2E-268FD13560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74921" y="1026885"/>
          <a:ext cx="320040" cy="320040"/>
        </a:xfrm>
        <a:prstGeom prst="rect">
          <a:avLst/>
        </a:prstGeom>
      </xdr:spPr>
    </xdr:pic>
    <xdr:clientData/>
  </xdr:twoCellAnchor>
  <xdr:twoCellAnchor editAs="oneCell">
    <xdr:from>
      <xdr:col>14</xdr:col>
      <xdr:colOff>229533</xdr:colOff>
      <xdr:row>5</xdr:row>
      <xdr:rowOff>73012</xdr:rowOff>
    </xdr:from>
    <xdr:to>
      <xdr:col>14</xdr:col>
      <xdr:colOff>549573</xdr:colOff>
      <xdr:row>7</xdr:row>
      <xdr:rowOff>12052</xdr:rowOff>
    </xdr:to>
    <xdr:pic>
      <xdr:nvPicPr>
        <xdr:cNvPr id="56" name="Graphic 133" descr="Speedometer Low with solid fill">
          <a:extLst>
            <a:ext uri="{FF2B5EF4-FFF2-40B4-BE49-F238E27FC236}">
              <a16:creationId xmlns:a16="http://schemas.microsoft.com/office/drawing/2014/main" id="{A2D51E0E-98DB-7CA9-607E-291D641BE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54333" y="1025512"/>
          <a:ext cx="320040" cy="320040"/>
        </a:xfrm>
        <a:prstGeom prst="rect">
          <a:avLst/>
        </a:prstGeom>
      </xdr:spPr>
    </xdr:pic>
    <xdr:clientData/>
  </xdr:twoCellAnchor>
  <xdr:twoCellAnchor editAs="oneCell">
    <xdr:from>
      <xdr:col>17</xdr:col>
      <xdr:colOff>428044</xdr:colOff>
      <xdr:row>5</xdr:row>
      <xdr:rowOff>73012</xdr:rowOff>
    </xdr:from>
    <xdr:to>
      <xdr:col>18</xdr:col>
      <xdr:colOff>138483</xdr:colOff>
      <xdr:row>7</xdr:row>
      <xdr:rowOff>12052</xdr:rowOff>
    </xdr:to>
    <xdr:pic>
      <xdr:nvPicPr>
        <xdr:cNvPr id="57" name="Graphic 135" descr="Transfer1 with solid fill">
          <a:extLst>
            <a:ext uri="{FF2B5EF4-FFF2-40B4-BE49-F238E27FC236}">
              <a16:creationId xmlns:a16="http://schemas.microsoft.com/office/drawing/2014/main" id="{3B292EC3-198F-CD78-2B87-927D76CA5C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81644" y="1025512"/>
          <a:ext cx="320040" cy="320040"/>
        </a:xfrm>
        <a:prstGeom prst="rect">
          <a:avLst/>
        </a:prstGeom>
      </xdr:spPr>
    </xdr:pic>
    <xdr:clientData/>
  </xdr:twoCellAnchor>
  <xdr:twoCellAnchor editAs="oneCell">
    <xdr:from>
      <xdr:col>7</xdr:col>
      <xdr:colOff>443792</xdr:colOff>
      <xdr:row>5</xdr:row>
      <xdr:rowOff>74385</xdr:rowOff>
    </xdr:from>
    <xdr:to>
      <xdr:col>8</xdr:col>
      <xdr:colOff>154232</xdr:colOff>
      <xdr:row>7</xdr:row>
      <xdr:rowOff>13425</xdr:rowOff>
    </xdr:to>
    <xdr:pic>
      <xdr:nvPicPr>
        <xdr:cNvPr id="58" name="Graphic 137" descr="Handshake with solid fill">
          <a:extLst>
            <a:ext uri="{FF2B5EF4-FFF2-40B4-BE49-F238E27FC236}">
              <a16:creationId xmlns:a16="http://schemas.microsoft.com/office/drawing/2014/main" id="{73FE0EA9-2154-D9E0-08AC-FB2B601A084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01392" y="1026885"/>
          <a:ext cx="320040" cy="320040"/>
        </a:xfrm>
        <a:prstGeom prst="rect">
          <a:avLst/>
        </a:prstGeom>
      </xdr:spPr>
    </xdr:pic>
    <xdr:clientData/>
  </xdr:twoCellAnchor>
  <xdr:twoCellAnchor>
    <xdr:from>
      <xdr:col>1</xdr:col>
      <xdr:colOff>329098</xdr:colOff>
      <xdr:row>6</xdr:row>
      <xdr:rowOff>32030</xdr:rowOff>
    </xdr:from>
    <xdr:to>
      <xdr:col>2</xdr:col>
      <xdr:colOff>511348</xdr:colOff>
      <xdr:row>9</xdr:row>
      <xdr:rowOff>120732</xdr:rowOff>
    </xdr:to>
    <xdr:sp macro="" textlink="">
      <xdr:nvSpPr>
        <xdr:cNvPr id="96" name="Rectangle: Top Corners Rounded 58">
          <a:extLst>
            <a:ext uri="{FF2B5EF4-FFF2-40B4-BE49-F238E27FC236}">
              <a16:creationId xmlns:a16="http://schemas.microsoft.com/office/drawing/2014/main" id="{256D671F-9BA8-F9DB-9038-C51C037ECC41}"/>
            </a:ext>
          </a:extLst>
        </xdr:cNvPr>
        <xdr:cNvSpPr/>
      </xdr:nvSpPr>
      <xdr:spPr>
        <a:xfrm flipV="1">
          <a:off x="941419" y="1175030"/>
          <a:ext cx="794572" cy="660202"/>
        </a:xfrm>
        <a:prstGeom prst="round2SameRect">
          <a:avLst/>
        </a:prstGeom>
        <a:solidFill>
          <a:schemeClr val="bg1"/>
        </a:solidFill>
        <a:ln>
          <a:noFill/>
        </a:ln>
        <a:effectLst>
          <a:innerShdw blurRad="63500" dist="1905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lientData/>
  </xdr:twoCellAnchor>
  <xdr:twoCellAnchor editAs="oneCell">
    <xdr:from>
      <xdr:col>1</xdr:col>
      <xdr:colOff>519283</xdr:colOff>
      <xdr:row>6</xdr:row>
      <xdr:rowOff>156391</xdr:rowOff>
    </xdr:from>
    <xdr:to>
      <xdr:col>2</xdr:col>
      <xdr:colOff>321163</xdr:colOff>
      <xdr:row>8</xdr:row>
      <xdr:rowOff>186871</xdr:rowOff>
    </xdr:to>
    <xdr:pic>
      <xdr:nvPicPr>
        <xdr:cNvPr id="60" name="Graphic 129" descr="Lights On with solid fill">
          <a:extLst>
            <a:ext uri="{FF2B5EF4-FFF2-40B4-BE49-F238E27FC236}">
              <a16:creationId xmlns:a16="http://schemas.microsoft.com/office/drawing/2014/main" id="{EF5AF6EA-5A55-778F-C6D1-CA04CCBF06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31604" y="1299391"/>
          <a:ext cx="414202" cy="411480"/>
        </a:xfrm>
        <a:prstGeom prst="rect">
          <a:avLst/>
        </a:prstGeom>
      </xdr:spPr>
    </xdr:pic>
    <xdr:clientData/>
  </xdr:twoCellAnchor>
  <xdr:twoCellAnchor>
    <xdr:from>
      <xdr:col>0</xdr:col>
      <xdr:colOff>440559</xdr:colOff>
      <xdr:row>9</xdr:row>
      <xdr:rowOff>144939</xdr:rowOff>
    </xdr:from>
    <xdr:to>
      <xdr:col>3</xdr:col>
      <xdr:colOff>399888</xdr:colOff>
      <xdr:row>11</xdr:row>
      <xdr:rowOff>71716</xdr:rowOff>
    </xdr:to>
    <xdr:sp macro="" textlink="">
      <xdr:nvSpPr>
        <xdr:cNvPr id="61" name="TextBox 141">
          <a:extLst>
            <a:ext uri="{FF2B5EF4-FFF2-40B4-BE49-F238E27FC236}">
              <a16:creationId xmlns:a16="http://schemas.microsoft.com/office/drawing/2014/main" id="{DA924743-4033-61AE-95BE-F67D3F9D1B97}"/>
            </a:ext>
          </a:extLst>
        </xdr:cNvPr>
        <xdr:cNvSpPr txBox="1"/>
      </xdr:nvSpPr>
      <xdr:spPr>
        <a:xfrm>
          <a:off x="440559" y="1859439"/>
          <a:ext cx="1796293" cy="307777"/>
        </a:xfrm>
        <a:prstGeom prst="rect">
          <a:avLst/>
        </a:prstGeom>
        <a:noFill/>
      </xdr:spPr>
      <xdr:txBody>
        <a:bodyPr wrap="square" rtlCol="0">
          <a:spAutoFit/>
        </a:bodyPr>
        <a:lstStyle>
          <a:defPPr>
            <a:defRPr lang="en-US"/>
          </a:defPPr>
          <a:lvl1pPr marL="0" algn="ctr" defTabSz="914400" rtl="0" eaLnBrk="1" latinLnBrk="0" hangingPunct="1">
            <a:defRPr sz="1800" b="1" kern="1200">
              <a:solidFill>
                <a:schemeClr val="bg1"/>
              </a:solidFill>
              <a:effectLst>
                <a:outerShdw blurRad="50800" dist="38100" algn="l" rotWithShape="0">
                  <a:prstClr val="black">
                    <a:alpha val="40000"/>
                  </a:prstClr>
                </a:outerShdw>
              </a:effectLst>
              <a:latin typeface="Antenna Purina Medium" pitchFamily="2" charset="0"/>
              <a:ea typeface="+mn-ea"/>
              <a:cs typeface="Antenna Purina Medium" pitchFamily="2" charset="0"/>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INSIGHT</a:t>
          </a:r>
          <a:endParaRPr lang="en-US" sz="2000"/>
        </a:p>
      </xdr:txBody>
    </xdr:sp>
    <xdr:clientData/>
  </xdr:twoCellAnchor>
  <xdr:twoCellAnchor>
    <xdr:from>
      <xdr:col>5</xdr:col>
      <xdr:colOff>1483</xdr:colOff>
      <xdr:row>6</xdr:row>
      <xdr:rowOff>8635</xdr:rowOff>
    </xdr:from>
    <xdr:to>
      <xdr:col>5</xdr:col>
      <xdr:colOff>564092</xdr:colOff>
      <xdr:row>7</xdr:row>
      <xdr:rowOff>72756</xdr:rowOff>
    </xdr:to>
    <xdr:sp macro="" textlink="$Y$12">
      <xdr:nvSpPr>
        <xdr:cNvPr id="72" name="TextBox 24">
          <a:extLst>
            <a:ext uri="{FF2B5EF4-FFF2-40B4-BE49-F238E27FC236}">
              <a16:creationId xmlns:a16="http://schemas.microsoft.com/office/drawing/2014/main" id="{E91215D8-05D4-A5A7-2AD3-9AF559421988}"/>
            </a:ext>
          </a:extLst>
        </xdr:cNvPr>
        <xdr:cNvSpPr txBox="1"/>
      </xdr:nvSpPr>
      <xdr:spPr>
        <a:xfrm>
          <a:off x="2439883" y="1151635"/>
          <a:ext cx="562609" cy="254621"/>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1165D114-7865-4C87-8A4E-41C6E891C9A1}" type="TxLink">
            <a:rPr lang="en-US" sz="1300" b="0" i="0" u="none" strike="noStrike">
              <a:solidFill>
                <a:srgbClr val="000000"/>
              </a:solidFill>
              <a:latin typeface="Georgia Pro Semibold" panose="02040702050405020303" pitchFamily="18" charset="0"/>
              <a:cs typeface="Antenna Purina Medium" pitchFamily="2" charset="0"/>
            </a:rPr>
            <a:pPr algn="l"/>
            <a:t>54</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xdr:from>
      <xdr:col>8</xdr:col>
      <xdr:colOff>201507</xdr:colOff>
      <xdr:row>6</xdr:row>
      <xdr:rowOff>8635</xdr:rowOff>
    </xdr:from>
    <xdr:to>
      <xdr:col>10</xdr:col>
      <xdr:colOff>215190</xdr:colOff>
      <xdr:row>7</xdr:row>
      <xdr:rowOff>72756</xdr:rowOff>
    </xdr:to>
    <xdr:sp macro="" textlink="$Y$13">
      <xdr:nvSpPr>
        <xdr:cNvPr id="73" name="TextBox 24">
          <a:extLst>
            <a:ext uri="{FF2B5EF4-FFF2-40B4-BE49-F238E27FC236}">
              <a16:creationId xmlns:a16="http://schemas.microsoft.com/office/drawing/2014/main" id="{B0F0FA1B-1431-8336-3FE3-4E644943EAC7}"/>
            </a:ext>
          </a:extLst>
        </xdr:cNvPr>
        <xdr:cNvSpPr txBox="1"/>
      </xdr:nvSpPr>
      <xdr:spPr>
        <a:xfrm>
          <a:off x="4468707" y="1151635"/>
          <a:ext cx="1232883" cy="254621"/>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83145A17-08AB-4B4E-94CF-AFDDAA693C1E}" type="TxLink">
            <a:rPr lang="en-US" sz="1300" b="0" i="0" u="none" strike="noStrike">
              <a:solidFill>
                <a:srgbClr val="000000"/>
              </a:solidFill>
              <a:latin typeface="Georgia Pro Semibold" panose="02040702050405020303" pitchFamily="18" charset="0"/>
              <a:cs typeface="Antenna Purina Medium" pitchFamily="2" charset="0"/>
            </a:rPr>
            <a:pPr algn="l"/>
            <a:t> 141,374 </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xdr:from>
      <xdr:col>11</xdr:col>
      <xdr:colOff>399061</xdr:colOff>
      <xdr:row>6</xdr:row>
      <xdr:rowOff>8635</xdr:rowOff>
    </xdr:from>
    <xdr:to>
      <xdr:col>13</xdr:col>
      <xdr:colOff>298203</xdr:colOff>
      <xdr:row>7</xdr:row>
      <xdr:rowOff>72756</xdr:rowOff>
    </xdr:to>
    <xdr:sp macro="" textlink="$Y$14">
      <xdr:nvSpPr>
        <xdr:cNvPr id="74" name="TextBox 24">
          <a:extLst>
            <a:ext uri="{FF2B5EF4-FFF2-40B4-BE49-F238E27FC236}">
              <a16:creationId xmlns:a16="http://schemas.microsoft.com/office/drawing/2014/main" id="{07298BB4-3ED9-3A6C-499B-A43E4432D6C6}"/>
            </a:ext>
          </a:extLst>
        </xdr:cNvPr>
        <xdr:cNvSpPr txBox="1"/>
      </xdr:nvSpPr>
      <xdr:spPr>
        <a:xfrm>
          <a:off x="6495061" y="1151635"/>
          <a:ext cx="1118342" cy="254621"/>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EEB9CE22-085B-4533-B6FF-662CF824884B}" type="TxLink">
            <a:rPr lang="en-US" sz="1300" b="0" i="0" u="none" strike="noStrike">
              <a:solidFill>
                <a:srgbClr val="000000"/>
              </a:solidFill>
              <a:latin typeface="Georgia Pro Semibold" panose="02040702050405020303" pitchFamily="18" charset="0"/>
              <a:cs typeface="Antenna Purina Medium" pitchFamily="2" charset="0"/>
            </a:rPr>
            <a:pPr algn="l"/>
            <a:t>$374,722</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xdr:from>
      <xdr:col>14</xdr:col>
      <xdr:colOff>601897</xdr:colOff>
      <xdr:row>6</xdr:row>
      <xdr:rowOff>8635</xdr:rowOff>
    </xdr:from>
    <xdr:to>
      <xdr:col>16</xdr:col>
      <xdr:colOff>450532</xdr:colOff>
      <xdr:row>7</xdr:row>
      <xdr:rowOff>72756</xdr:rowOff>
    </xdr:to>
    <xdr:sp macro="" textlink="$Y$16">
      <xdr:nvSpPr>
        <xdr:cNvPr id="75" name="TextBox 24">
          <a:extLst>
            <a:ext uri="{FF2B5EF4-FFF2-40B4-BE49-F238E27FC236}">
              <a16:creationId xmlns:a16="http://schemas.microsoft.com/office/drawing/2014/main" id="{97A8DCA2-5CA5-121C-394B-9ECCB99A7B23}"/>
            </a:ext>
          </a:extLst>
        </xdr:cNvPr>
        <xdr:cNvSpPr txBox="1"/>
      </xdr:nvSpPr>
      <xdr:spPr>
        <a:xfrm>
          <a:off x="8526697" y="1151635"/>
          <a:ext cx="1067835" cy="254621"/>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7F2BD82C-DCE3-48FD-9FCB-11D68912ACBA}" type="TxLink">
            <a:rPr lang="en-US" sz="1300" b="0" i="0" u="none" strike="noStrike">
              <a:solidFill>
                <a:srgbClr val="000000"/>
              </a:solidFill>
              <a:latin typeface="Georgia Pro Semibold" panose="02040702050405020303" pitchFamily="18" charset="0"/>
              <a:cs typeface="Antenna Purina Medium" pitchFamily="2" charset="0"/>
            </a:rPr>
            <a:pPr algn="l"/>
            <a:t> 718.28 </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xdr:from>
      <xdr:col>18</xdr:col>
      <xdr:colOff>189967</xdr:colOff>
      <xdr:row>6</xdr:row>
      <xdr:rowOff>8635</xdr:rowOff>
    </xdr:from>
    <xdr:to>
      <xdr:col>20</xdr:col>
      <xdr:colOff>123825</xdr:colOff>
      <xdr:row>7</xdr:row>
      <xdr:rowOff>72756</xdr:rowOff>
    </xdr:to>
    <xdr:sp macro="" textlink="$Y$15">
      <xdr:nvSpPr>
        <xdr:cNvPr id="76" name="TextBox 24">
          <a:extLst>
            <a:ext uri="{FF2B5EF4-FFF2-40B4-BE49-F238E27FC236}">
              <a16:creationId xmlns:a16="http://schemas.microsoft.com/office/drawing/2014/main" id="{7930B6AF-807B-1693-39F3-9E57B1A06DC0}"/>
            </a:ext>
          </a:extLst>
        </xdr:cNvPr>
        <xdr:cNvSpPr txBox="1"/>
      </xdr:nvSpPr>
      <xdr:spPr>
        <a:xfrm>
          <a:off x="10553167" y="1151635"/>
          <a:ext cx="1153058" cy="254621"/>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273121DC-B3C5-4ED3-B525-1FF86D035D0A}" type="TxLink">
            <a:rPr lang="en-US" sz="1300" b="0" i="0" u="none" strike="noStrike">
              <a:solidFill>
                <a:srgbClr val="000000"/>
              </a:solidFill>
              <a:latin typeface="Georgia Pro Semibold" panose="02040702050405020303" pitchFamily="18" charset="0"/>
              <a:cs typeface="Antenna Purina Medium" pitchFamily="2" charset="0"/>
            </a:rPr>
            <a:pPr algn="l"/>
            <a:t>$43 Billion</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xdr:from>
      <xdr:col>4</xdr:col>
      <xdr:colOff>142875</xdr:colOff>
      <xdr:row>10</xdr:row>
      <xdr:rowOff>9525</xdr:rowOff>
    </xdr:from>
    <xdr:to>
      <xdr:col>8</xdr:col>
      <xdr:colOff>542926</xdr:colOff>
      <xdr:row>18</xdr:row>
      <xdr:rowOff>133350</xdr:rowOff>
    </xdr:to>
    <xdr:graphicFrame macro="">
      <xdr:nvGraphicFramePr>
        <xdr:cNvPr id="77" name="Chart 76">
          <a:extLst>
            <a:ext uri="{FF2B5EF4-FFF2-40B4-BE49-F238E27FC236}">
              <a16:creationId xmlns:a16="http://schemas.microsoft.com/office/drawing/2014/main" id="{587999C5-84BF-436B-95CD-263A8607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127291</xdr:colOff>
      <xdr:row>9</xdr:row>
      <xdr:rowOff>114300</xdr:rowOff>
    </xdr:from>
    <xdr:to>
      <xdr:col>12</xdr:col>
      <xdr:colOff>241591</xdr:colOff>
      <xdr:row>19</xdr:row>
      <xdr:rowOff>47625</xdr:rowOff>
    </xdr:to>
    <xdr:graphicFrame macro="">
      <xdr:nvGraphicFramePr>
        <xdr:cNvPr id="78" name="Chart 77">
          <a:extLst>
            <a:ext uri="{FF2B5EF4-FFF2-40B4-BE49-F238E27FC236}">
              <a16:creationId xmlns:a16="http://schemas.microsoft.com/office/drawing/2014/main" id="{2328186F-F4A5-4637-B73B-CCD61B0DB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429935</xdr:colOff>
      <xdr:row>9</xdr:row>
      <xdr:rowOff>142875</xdr:rowOff>
    </xdr:from>
    <xdr:to>
      <xdr:col>20</xdr:col>
      <xdr:colOff>296585</xdr:colOff>
      <xdr:row>18</xdr:row>
      <xdr:rowOff>123825</xdr:rowOff>
    </xdr:to>
    <xdr:graphicFrame macro="">
      <xdr:nvGraphicFramePr>
        <xdr:cNvPr id="80" name="Chart 79">
          <a:extLst>
            <a:ext uri="{FF2B5EF4-FFF2-40B4-BE49-F238E27FC236}">
              <a16:creationId xmlns:a16="http://schemas.microsoft.com/office/drawing/2014/main" id="{7C3351A5-29E5-46A7-A2DB-BE63A0668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164175</xdr:colOff>
      <xdr:row>20</xdr:row>
      <xdr:rowOff>95250</xdr:rowOff>
    </xdr:from>
    <xdr:to>
      <xdr:col>12</xdr:col>
      <xdr:colOff>179143</xdr:colOff>
      <xdr:row>26</xdr:row>
      <xdr:rowOff>95250</xdr:rowOff>
    </xdr:to>
    <xdr:graphicFrame macro="">
      <xdr:nvGraphicFramePr>
        <xdr:cNvPr id="82" name="Chart 81">
          <a:extLst>
            <a:ext uri="{FF2B5EF4-FFF2-40B4-BE49-F238E27FC236}">
              <a16:creationId xmlns:a16="http://schemas.microsoft.com/office/drawing/2014/main" id="{20C4684A-7FA4-4F06-A00A-BC904ACAE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266700</xdr:colOff>
      <xdr:row>19</xdr:row>
      <xdr:rowOff>152400</xdr:rowOff>
    </xdr:from>
    <xdr:to>
      <xdr:col>16</xdr:col>
      <xdr:colOff>352425</xdr:colOff>
      <xdr:row>29</xdr:row>
      <xdr:rowOff>161926</xdr:rowOff>
    </xdr:to>
    <xdr:graphicFrame macro="">
      <xdr:nvGraphicFramePr>
        <xdr:cNvPr id="83" name="Chart 82">
          <a:extLst>
            <a:ext uri="{FF2B5EF4-FFF2-40B4-BE49-F238E27FC236}">
              <a16:creationId xmlns:a16="http://schemas.microsoft.com/office/drawing/2014/main" id="{5F108FE6-5852-4024-B681-D8F9DE203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409575</xdr:colOff>
      <xdr:row>20</xdr:row>
      <xdr:rowOff>123825</xdr:rowOff>
    </xdr:from>
    <xdr:to>
      <xdr:col>20</xdr:col>
      <xdr:colOff>361950</xdr:colOff>
      <xdr:row>30</xdr:row>
      <xdr:rowOff>57150</xdr:rowOff>
    </xdr:to>
    <xdr:graphicFrame macro="">
      <xdr:nvGraphicFramePr>
        <xdr:cNvPr id="84" name="Chart 83">
          <a:extLst>
            <a:ext uri="{FF2B5EF4-FFF2-40B4-BE49-F238E27FC236}">
              <a16:creationId xmlns:a16="http://schemas.microsoft.com/office/drawing/2014/main" id="{0B845564-8984-4C2C-86A6-2DB7D12B0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475260</xdr:colOff>
      <xdr:row>33</xdr:row>
      <xdr:rowOff>59238</xdr:rowOff>
    </xdr:from>
    <xdr:to>
      <xdr:col>15</xdr:col>
      <xdr:colOff>352425</xdr:colOff>
      <xdr:row>34</xdr:row>
      <xdr:rowOff>98353</xdr:rowOff>
    </xdr:to>
    <xdr:sp macro="" textlink="$Y$30">
      <xdr:nvSpPr>
        <xdr:cNvPr id="85" name="TextBox 24">
          <a:extLst>
            <a:ext uri="{FF2B5EF4-FFF2-40B4-BE49-F238E27FC236}">
              <a16:creationId xmlns:a16="http://schemas.microsoft.com/office/drawing/2014/main" id="{09236233-B884-C9C4-4AC6-C949EAE3B30B}"/>
            </a:ext>
          </a:extLst>
        </xdr:cNvPr>
        <xdr:cNvSpPr txBox="1"/>
      </xdr:nvSpPr>
      <xdr:spPr>
        <a:xfrm>
          <a:off x="7790460" y="6345738"/>
          <a:ext cx="1705965" cy="229615"/>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1A3D9EA5-E450-4D3C-90ED-2165277A55AB}" type="TxLink">
            <a:rPr lang="en-US" sz="1100" b="0" i="0" u="none" strike="noStrike">
              <a:solidFill>
                <a:srgbClr val="000000"/>
              </a:solidFill>
              <a:latin typeface="Georgia Pro Semibold" panose="02040702050405020303" pitchFamily="18" charset="0"/>
              <a:cs typeface="Antenna Purina Medium" pitchFamily="2" charset="0"/>
            </a:rPr>
            <a:pPr algn="l"/>
            <a:t>Urus</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xdr:from>
      <xdr:col>15</xdr:col>
      <xdr:colOff>218086</xdr:colOff>
      <xdr:row>33</xdr:row>
      <xdr:rowOff>59238</xdr:rowOff>
    </xdr:from>
    <xdr:to>
      <xdr:col>17</xdr:col>
      <xdr:colOff>117228</xdr:colOff>
      <xdr:row>34</xdr:row>
      <xdr:rowOff>98353</xdr:rowOff>
    </xdr:to>
    <xdr:sp macro="" textlink="$Y$31">
      <xdr:nvSpPr>
        <xdr:cNvPr id="87" name="TextBox 24">
          <a:extLst>
            <a:ext uri="{FF2B5EF4-FFF2-40B4-BE49-F238E27FC236}">
              <a16:creationId xmlns:a16="http://schemas.microsoft.com/office/drawing/2014/main" id="{DE7AAE5E-3C2E-4B28-8C28-94F5F8B0AA90}"/>
            </a:ext>
          </a:extLst>
        </xdr:cNvPr>
        <xdr:cNvSpPr txBox="1"/>
      </xdr:nvSpPr>
      <xdr:spPr>
        <a:xfrm>
          <a:off x="8752486" y="6345738"/>
          <a:ext cx="1118342" cy="229615"/>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1972880C-33E3-4EEB-9099-03D3BA24B892}" type="TxLink">
            <a:rPr lang="en-US" sz="1100" b="0" i="0" u="none" strike="noStrike">
              <a:solidFill>
                <a:srgbClr val="000000"/>
              </a:solidFill>
              <a:latin typeface="Georgia Pro Semibold" panose="02040702050405020303" pitchFamily="18" charset="0"/>
              <a:cs typeface="Antenna Purina Medium" pitchFamily="2" charset="0"/>
            </a:rPr>
            <a:pPr algn="l"/>
            <a:t>Americas</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xdr:from>
      <xdr:col>17</xdr:col>
      <xdr:colOff>570511</xdr:colOff>
      <xdr:row>33</xdr:row>
      <xdr:rowOff>59238</xdr:rowOff>
    </xdr:from>
    <xdr:to>
      <xdr:col>19</xdr:col>
      <xdr:colOff>469653</xdr:colOff>
      <xdr:row>34</xdr:row>
      <xdr:rowOff>98353</xdr:rowOff>
    </xdr:to>
    <xdr:sp macro="" textlink="$Y$32">
      <xdr:nvSpPr>
        <xdr:cNvPr id="88" name="TextBox 24">
          <a:extLst>
            <a:ext uri="{FF2B5EF4-FFF2-40B4-BE49-F238E27FC236}">
              <a16:creationId xmlns:a16="http://schemas.microsoft.com/office/drawing/2014/main" id="{1FA15AA5-D16C-5A36-AA3E-C4DD22C1BD0B}"/>
            </a:ext>
          </a:extLst>
        </xdr:cNvPr>
        <xdr:cNvSpPr txBox="1"/>
      </xdr:nvSpPr>
      <xdr:spPr>
        <a:xfrm>
          <a:off x="10324111" y="6345738"/>
          <a:ext cx="1118342" cy="229615"/>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fld id="{5F96192E-EF6E-47D3-8A38-3537A39A7E58}" type="TxLink">
            <a:rPr lang="en-US" sz="1100" b="0" i="0" u="none" strike="noStrike">
              <a:solidFill>
                <a:srgbClr val="000000"/>
              </a:solidFill>
              <a:latin typeface="Georgia Pro Semibold" panose="02040702050405020303" pitchFamily="18" charset="0"/>
              <a:cs typeface="Antenna Purina Medium" pitchFamily="2" charset="0"/>
            </a:rPr>
            <a:pPr algn="l"/>
            <a:t>Gasoline</a:t>
          </a:fld>
          <a:endParaRPr lang="en-US" sz="1300">
            <a:solidFill>
              <a:srgbClr val="3F4474"/>
            </a:solidFill>
            <a:latin typeface="Georgia Pro Semibold" panose="02040702050405020303" pitchFamily="18" charset="0"/>
            <a:cs typeface="Antenna Purina Medium" pitchFamily="2" charset="0"/>
          </a:endParaRPr>
        </a:p>
      </xdr:txBody>
    </xdr:sp>
    <xdr:clientData/>
  </xdr:twoCellAnchor>
  <xdr:twoCellAnchor editAs="oneCell">
    <xdr:from>
      <xdr:col>0</xdr:col>
      <xdr:colOff>374013</xdr:colOff>
      <xdr:row>11</xdr:row>
      <xdr:rowOff>142875</xdr:rowOff>
    </xdr:from>
    <xdr:to>
      <xdr:col>3</xdr:col>
      <xdr:colOff>466433</xdr:colOff>
      <xdr:row>17</xdr:row>
      <xdr:rowOff>27214</xdr:rowOff>
    </xdr:to>
    <mc:AlternateContent xmlns:mc="http://schemas.openxmlformats.org/markup-compatibility/2006" xmlns:a14="http://schemas.microsoft.com/office/drawing/2010/main">
      <mc:Choice Requires="a14">
        <xdr:graphicFrame macro="">
          <xdr:nvGraphicFramePr>
            <xdr:cNvPr id="79" name="Model">
              <a:extLst>
                <a:ext uri="{FF2B5EF4-FFF2-40B4-BE49-F238E27FC236}">
                  <a16:creationId xmlns:a16="http://schemas.microsoft.com/office/drawing/2014/main" id="{FC3F27C0-010C-D6B0-14F1-945A90BA5B3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374013" y="2238375"/>
              <a:ext cx="1921220" cy="1027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374013</xdr:colOff>
      <xdr:row>21</xdr:row>
      <xdr:rowOff>108178</xdr:rowOff>
    </xdr:from>
    <xdr:to>
      <xdr:col>3</xdr:col>
      <xdr:colOff>466433</xdr:colOff>
      <xdr:row>25</xdr:row>
      <xdr:rowOff>168048</xdr:rowOff>
    </xdr:to>
    <mc:AlternateContent xmlns:mc="http://schemas.openxmlformats.org/markup-compatibility/2006" xmlns:a14="http://schemas.microsoft.com/office/drawing/2010/main">
      <mc:Choice Requires="a14">
        <xdr:graphicFrame macro="">
          <xdr:nvGraphicFramePr>
            <xdr:cNvPr id="90" name="Year">
              <a:extLst>
                <a:ext uri="{FF2B5EF4-FFF2-40B4-BE49-F238E27FC236}">
                  <a16:creationId xmlns:a16="http://schemas.microsoft.com/office/drawing/2014/main" id="{1E14589E-D326-FF4E-68D1-A023388FDFC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4013" y="4108678"/>
              <a:ext cx="1921220" cy="821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374013</xdr:colOff>
      <xdr:row>17</xdr:row>
      <xdr:rowOff>46605</xdr:rowOff>
    </xdr:from>
    <xdr:to>
      <xdr:col>3</xdr:col>
      <xdr:colOff>466433</xdr:colOff>
      <xdr:row>21</xdr:row>
      <xdr:rowOff>88787</xdr:rowOff>
    </xdr:to>
    <mc:AlternateContent xmlns:mc="http://schemas.openxmlformats.org/markup-compatibility/2006" xmlns:a14="http://schemas.microsoft.com/office/drawing/2010/main">
      <mc:Choice Requires="a14">
        <xdr:graphicFrame macro="">
          <xdr:nvGraphicFramePr>
            <xdr:cNvPr id="59" name="Region">
              <a:extLst>
                <a:ext uri="{FF2B5EF4-FFF2-40B4-BE49-F238E27FC236}">
                  <a16:creationId xmlns:a16="http://schemas.microsoft.com/office/drawing/2014/main" id="{FE1774A0-29D9-4B17-6C7D-B2B012E405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4013" y="3285105"/>
              <a:ext cx="1921220" cy="804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374013</xdr:colOff>
      <xdr:row>25</xdr:row>
      <xdr:rowOff>187439</xdr:rowOff>
    </xdr:from>
    <xdr:to>
      <xdr:col>3</xdr:col>
      <xdr:colOff>466433</xdr:colOff>
      <xdr:row>29</xdr:row>
      <xdr:rowOff>33677</xdr:rowOff>
    </xdr:to>
    <mc:AlternateContent xmlns:mc="http://schemas.openxmlformats.org/markup-compatibility/2006" xmlns:a14="http://schemas.microsoft.com/office/drawing/2010/main">
      <mc:Choice Requires="a14">
        <xdr:graphicFrame macro="">
          <xdr:nvGraphicFramePr>
            <xdr:cNvPr id="93" name="Fuel Type">
              <a:extLst>
                <a:ext uri="{FF2B5EF4-FFF2-40B4-BE49-F238E27FC236}">
                  <a16:creationId xmlns:a16="http://schemas.microsoft.com/office/drawing/2014/main" id="{BCBF9221-0EF5-70DB-2750-256C3413A4E6}"/>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374013" y="4949939"/>
              <a:ext cx="1921220" cy="608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374013</xdr:colOff>
      <xdr:row>29</xdr:row>
      <xdr:rowOff>53069</xdr:rowOff>
    </xdr:from>
    <xdr:to>
      <xdr:col>3</xdr:col>
      <xdr:colOff>466433</xdr:colOff>
      <xdr:row>33</xdr:row>
      <xdr:rowOff>85725</xdr:rowOff>
    </xdr:to>
    <mc:AlternateContent xmlns:mc="http://schemas.openxmlformats.org/markup-compatibility/2006" xmlns:a14="http://schemas.microsoft.com/office/drawing/2010/main">
      <mc:Choice Requires="a14">
        <xdr:graphicFrame macro="">
          <xdr:nvGraphicFramePr>
            <xdr:cNvPr id="94" name="Price Distribution">
              <a:extLst>
                <a:ext uri="{FF2B5EF4-FFF2-40B4-BE49-F238E27FC236}">
                  <a16:creationId xmlns:a16="http://schemas.microsoft.com/office/drawing/2014/main" id="{3329A860-671E-9B10-A6DB-5D9E4DF599AC}"/>
                </a:ext>
              </a:extLst>
            </xdr:cNvPr>
            <xdr:cNvGraphicFramePr/>
          </xdr:nvGraphicFramePr>
          <xdr:xfrm>
            <a:off x="0" y="0"/>
            <a:ext cx="0" cy="0"/>
          </xdr:xfrm>
          <a:graphic>
            <a:graphicData uri="http://schemas.microsoft.com/office/drawing/2010/slicer">
              <sle:slicer xmlns:sle="http://schemas.microsoft.com/office/drawing/2010/slicer" name="Price Distribution"/>
            </a:graphicData>
          </a:graphic>
        </xdr:graphicFrame>
      </mc:Choice>
      <mc:Fallback xmlns="">
        <xdr:sp macro="" textlink="">
          <xdr:nvSpPr>
            <xdr:cNvPr id="0" name=""/>
            <xdr:cNvSpPr>
              <a:spLocks noTextEdit="1"/>
            </xdr:cNvSpPr>
          </xdr:nvSpPr>
          <xdr:spPr>
            <a:xfrm>
              <a:off x="374013" y="5577569"/>
              <a:ext cx="1921220" cy="794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444751</xdr:colOff>
      <xdr:row>13</xdr:row>
      <xdr:rowOff>40515</xdr:rowOff>
    </xdr:from>
    <xdr:to>
      <xdr:col>11</xdr:col>
      <xdr:colOff>476581</xdr:colOff>
      <xdr:row>14</xdr:row>
      <xdr:rowOff>117076</xdr:rowOff>
    </xdr:to>
    <xdr:sp macro="" textlink="$Y$19">
      <xdr:nvSpPr>
        <xdr:cNvPr id="89" name="TextBox 24">
          <a:extLst>
            <a:ext uri="{FF2B5EF4-FFF2-40B4-BE49-F238E27FC236}">
              <a16:creationId xmlns:a16="http://schemas.microsoft.com/office/drawing/2014/main" id="{18544478-AA08-2E6F-896B-453F554D5DC4}"/>
            </a:ext>
          </a:extLst>
        </xdr:cNvPr>
        <xdr:cNvSpPr txBox="1"/>
      </xdr:nvSpPr>
      <xdr:spPr>
        <a:xfrm>
          <a:off x="5931151" y="2517015"/>
          <a:ext cx="1251030" cy="267061"/>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0A070A0-4BFD-4992-BCD7-09A3CC4CADAA}" type="TxLink">
            <a:rPr lang="en-US" sz="1400" b="0" i="0" u="none" strike="noStrike">
              <a:solidFill>
                <a:srgbClr val="000000"/>
              </a:solidFill>
              <a:latin typeface="Georgia Pro Semibold" panose="02040702050405020303" pitchFamily="18" charset="0"/>
              <a:cs typeface="Antenna Purina Medium" pitchFamily="2" charset="0"/>
            </a:rPr>
            <a:pPr algn="ctr"/>
            <a:t> 141,374 </a:t>
          </a:fld>
          <a:endParaRPr lang="en-US" sz="1400">
            <a:solidFill>
              <a:srgbClr val="3F4474"/>
            </a:solidFill>
            <a:latin typeface="Georgia Pro Semibold" panose="02040702050405020303" pitchFamily="18" charset="0"/>
            <a:cs typeface="Antenna Purina Medium" pitchFamily="2" charset="0"/>
          </a:endParaRPr>
        </a:p>
      </xdr:txBody>
    </xdr:sp>
    <xdr:clientData/>
  </xdr:twoCellAnchor>
  <xdr:twoCellAnchor>
    <xdr:from>
      <xdr:col>4</xdr:col>
      <xdr:colOff>133350</xdr:colOff>
      <xdr:row>28</xdr:row>
      <xdr:rowOff>57150</xdr:rowOff>
    </xdr:from>
    <xdr:to>
      <xdr:col>12</xdr:col>
      <xdr:colOff>180975</xdr:colOff>
      <xdr:row>35</xdr:row>
      <xdr:rowOff>38101</xdr:rowOff>
    </xdr:to>
    <xdr:graphicFrame macro="">
      <xdr:nvGraphicFramePr>
        <xdr:cNvPr id="91" name="Chart 90">
          <a:extLst>
            <a:ext uri="{FF2B5EF4-FFF2-40B4-BE49-F238E27FC236}">
              <a16:creationId xmlns:a16="http://schemas.microsoft.com/office/drawing/2014/main" id="{BECF18D2-D50F-4CD2-B4BE-EA764E600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17</xdr:col>
      <xdr:colOff>295275</xdr:colOff>
      <xdr:row>0</xdr:row>
      <xdr:rowOff>57151</xdr:rowOff>
    </xdr:from>
    <xdr:to>
      <xdr:col>20</xdr:col>
      <xdr:colOff>409575</xdr:colOff>
      <xdr:row>4</xdr:row>
      <xdr:rowOff>78583</xdr:rowOff>
    </xdr:to>
    <xdr:pic>
      <xdr:nvPicPr>
        <xdr:cNvPr id="101" name="Picture 100">
          <a:extLst>
            <a:ext uri="{FF2B5EF4-FFF2-40B4-BE49-F238E27FC236}">
              <a16:creationId xmlns:a16="http://schemas.microsoft.com/office/drawing/2014/main" id="{CA611767-97E3-88ED-C842-1B91A2DCDC07}"/>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19301" b="20220"/>
        <a:stretch>
          <a:fillRect/>
        </a:stretch>
      </xdr:blipFill>
      <xdr:spPr>
        <a:xfrm>
          <a:off x="10658475" y="57151"/>
          <a:ext cx="1943100" cy="7834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atunde,Raphael,NG-Agbara" refreshedDate="46080.567975578706" createdVersion="8" refreshedVersion="8" minRefreshableVersion="3" recordCount="54" xr:uid="{25EB1E28-8D95-447A-A951-DF5502793B44}">
  <cacheSource type="worksheet">
    <worksheetSource name="Table1"/>
  </cacheSource>
  <cacheFields count="12">
    <cacheField name="Model" numFmtId="0">
      <sharedItems count="6">
        <s v="Urus"/>
        <s v="HuracÃ¡n"/>
        <s v="Aventador"/>
        <s v="Revuelto"/>
        <s v="Urus SE"/>
        <s v="HuracÃ¡n (Temerario)"/>
      </sharedItems>
    </cacheField>
    <cacheField name="Year" numFmtId="0">
      <sharedItems containsSemiMixedTypes="0" containsString="0" containsNumber="1" containsInteger="1" minValue="2020" maxValue="2025" count="6">
        <n v="2020"/>
        <n v="2021"/>
        <n v="2022"/>
        <n v="2023"/>
        <n v="2024"/>
        <n v="2025"/>
      </sharedItems>
    </cacheField>
    <cacheField name="Region" numFmtId="0">
      <sharedItems count="3">
        <s v="EMEA"/>
        <s v="Americas"/>
        <s v="APAC"/>
      </sharedItems>
    </cacheField>
    <cacheField name="Color" numFmtId="0">
      <sharedItems count="9">
        <s v="Black"/>
        <s v="White"/>
        <s v="Red"/>
        <s v="Yellow"/>
        <s v="Orange"/>
        <s v="Silver"/>
        <s v="Blue"/>
        <s v="Green"/>
        <s v="Grey"/>
      </sharedItems>
    </cacheField>
    <cacheField name="Fuel Type" numFmtId="0">
      <sharedItems count="2">
        <s v="Gasoline"/>
        <s v="Hybrid"/>
      </sharedItems>
    </cacheField>
    <cacheField name="Base Price (USD)" numFmtId="164">
      <sharedItems containsSemiMixedTypes="0" containsString="0" containsNumber="1" containsInteger="1" minValue="230000" maxValue="590000"/>
    </cacheField>
    <cacheField name="Horsepower" numFmtId="0">
      <sharedItems containsSemiMixedTypes="0" containsString="0" containsNumber="1" containsInteger="1" minValue="631" maxValue="1001" count="5">
        <n v="641"/>
        <n v="631"/>
        <n v="769"/>
        <n v="1001"/>
        <n v="850"/>
      </sharedItems>
    </cacheField>
    <cacheField name="Sales Volume" numFmtId="0">
      <sharedItems containsSemiMixedTypes="0" containsString="0" containsNumber="1" containsInteger="1" minValue="63" maxValue="6200" count="49">
        <n v="4500"/>
        <n v="4800"/>
        <n v="2700"/>
        <n v="2500"/>
        <n v="2600"/>
        <n v="1500"/>
        <n v="600"/>
        <n v="650"/>
        <n v="400"/>
        <n v="5021"/>
        <n v="5200"/>
        <n v="2780"/>
        <n v="2586"/>
        <n v="1520"/>
        <n v="798"/>
        <n v="820"/>
        <n v="500"/>
        <n v="5367"/>
        <n v="5550"/>
        <n v="3000"/>
        <n v="3113"/>
        <n v="3300"/>
        <n v="1900"/>
        <n v="753"/>
        <n v="780"/>
        <n v="480"/>
        <n v="6087"/>
        <n v="6200"/>
        <n v="3100"/>
        <n v="3962"/>
        <n v="4000"/>
        <n v="2300"/>
        <n v="63"/>
        <n v="1406"/>
        <n v="900"/>
        <n v="5662"/>
        <n v="5800"/>
        <n v="3150"/>
        <n v="3600"/>
        <n v="3700"/>
        <n v="2200"/>
        <n v="1700"/>
        <n v="1800"/>
        <n v="1650"/>
        <n v="4650"/>
        <n v="2750"/>
        <n v="1300"/>
        <n v="1400"/>
        <n v="1150"/>
      </sharedItems>
    </cacheField>
    <cacheField name="Turbo (Yes/No)" numFmtId="0">
      <sharedItems count="1">
        <s v="Yes"/>
      </sharedItems>
    </cacheField>
    <cacheField name="Price Distribution" numFmtId="0">
      <sharedItems count="3">
        <s v="Low Price"/>
        <s v="High Price"/>
        <s v="Medium Price"/>
      </sharedItems>
    </cacheField>
    <cacheField name="Revenue" numFmtId="164">
      <sharedItems containsSemiMixedTypes="0" containsString="0" containsNumber="1" containsInteger="1" minValue="36540000" maxValue="1856000000" count="53">
        <n v="1035000000"/>
        <n v="1152000000"/>
        <n v="634500000"/>
        <n v="650000000"/>
        <n v="702000000"/>
        <n v="397500000"/>
        <n v="330000000"/>
        <n v="364000000"/>
        <n v="222000000"/>
        <n v="1179935000"/>
        <n v="1274000000"/>
        <n v="667200000"/>
        <n v="685290000"/>
        <n v="742500000"/>
        <n v="410400000"/>
        <n v="446880000"/>
        <n v="467400000"/>
        <n v="282500000"/>
        <n v="1288080000"/>
        <n v="1387500000"/>
        <n v="735000000"/>
        <n v="840510000"/>
        <n v="924000000"/>
        <n v="522500000"/>
        <n v="429210000"/>
        <n v="452400000"/>
        <n v="276000000"/>
        <n v="1521750000"/>
        <n v="1612000000"/>
        <n v="790500000"/>
        <n v="1109360000"/>
        <n v="1160000000"/>
        <n v="655500000"/>
        <n v="36540000"/>
        <n v="37170000"/>
        <n v="36855000"/>
        <n v="703000000"/>
        <n v="780000000"/>
        <n v="459000000"/>
        <n v="1698600000"/>
        <n v="1856000000"/>
        <n v="976500000"/>
        <n v="1044000000"/>
        <n v="1110000000"/>
        <n v="649000000"/>
        <n v="935000000"/>
        <n v="1026000000"/>
        <n v="1534500000"/>
        <n v="1632000000"/>
        <n v="921250000"/>
        <n v="494000000"/>
        <n v="546000000"/>
        <n v="442750000"/>
      </sharedItems>
    </cacheField>
    <cacheField name="HP Range" numFmtId="0">
      <sharedItems count="3">
        <s v="Low HP"/>
        <s v="Medium HP"/>
        <s v="High HP"/>
      </sharedItems>
    </cacheField>
  </cacheFields>
  <extLst>
    <ext xmlns:x14="http://schemas.microsoft.com/office/spreadsheetml/2009/9/main" uri="{725AE2AE-9491-48be-B2B4-4EB974FC3084}">
      <x14:pivotCacheDefinition pivotCacheId="574539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x v="0"/>
    <x v="0"/>
    <x v="0"/>
    <n v="230000"/>
    <x v="0"/>
    <x v="0"/>
    <x v="0"/>
    <x v="0"/>
    <x v="0"/>
    <x v="0"/>
  </r>
  <r>
    <x v="0"/>
    <x v="0"/>
    <x v="1"/>
    <x v="1"/>
    <x v="0"/>
    <n v="240000"/>
    <x v="0"/>
    <x v="1"/>
    <x v="0"/>
    <x v="0"/>
    <x v="1"/>
    <x v="0"/>
  </r>
  <r>
    <x v="0"/>
    <x v="0"/>
    <x v="2"/>
    <x v="2"/>
    <x v="0"/>
    <n v="235000"/>
    <x v="0"/>
    <x v="2"/>
    <x v="0"/>
    <x v="0"/>
    <x v="2"/>
    <x v="0"/>
  </r>
  <r>
    <x v="1"/>
    <x v="0"/>
    <x v="0"/>
    <x v="3"/>
    <x v="0"/>
    <n v="260000"/>
    <x v="1"/>
    <x v="3"/>
    <x v="0"/>
    <x v="0"/>
    <x v="3"/>
    <x v="0"/>
  </r>
  <r>
    <x v="1"/>
    <x v="0"/>
    <x v="1"/>
    <x v="4"/>
    <x v="0"/>
    <n v="270000"/>
    <x v="1"/>
    <x v="4"/>
    <x v="0"/>
    <x v="0"/>
    <x v="4"/>
    <x v="0"/>
  </r>
  <r>
    <x v="1"/>
    <x v="0"/>
    <x v="2"/>
    <x v="0"/>
    <x v="0"/>
    <n v="265000"/>
    <x v="1"/>
    <x v="5"/>
    <x v="0"/>
    <x v="0"/>
    <x v="5"/>
    <x v="0"/>
  </r>
  <r>
    <x v="2"/>
    <x v="0"/>
    <x v="0"/>
    <x v="0"/>
    <x v="0"/>
    <n v="550000"/>
    <x v="2"/>
    <x v="6"/>
    <x v="0"/>
    <x v="1"/>
    <x v="6"/>
    <x v="1"/>
  </r>
  <r>
    <x v="2"/>
    <x v="0"/>
    <x v="1"/>
    <x v="1"/>
    <x v="0"/>
    <n v="560000"/>
    <x v="2"/>
    <x v="7"/>
    <x v="0"/>
    <x v="1"/>
    <x v="7"/>
    <x v="1"/>
  </r>
  <r>
    <x v="2"/>
    <x v="0"/>
    <x v="2"/>
    <x v="2"/>
    <x v="0"/>
    <n v="555000"/>
    <x v="2"/>
    <x v="8"/>
    <x v="0"/>
    <x v="1"/>
    <x v="8"/>
    <x v="1"/>
  </r>
  <r>
    <x v="0"/>
    <x v="1"/>
    <x v="0"/>
    <x v="5"/>
    <x v="0"/>
    <n v="235000"/>
    <x v="0"/>
    <x v="9"/>
    <x v="0"/>
    <x v="0"/>
    <x v="9"/>
    <x v="0"/>
  </r>
  <r>
    <x v="0"/>
    <x v="1"/>
    <x v="1"/>
    <x v="0"/>
    <x v="0"/>
    <n v="245000"/>
    <x v="0"/>
    <x v="10"/>
    <x v="0"/>
    <x v="0"/>
    <x v="10"/>
    <x v="0"/>
  </r>
  <r>
    <x v="0"/>
    <x v="1"/>
    <x v="2"/>
    <x v="1"/>
    <x v="0"/>
    <n v="240000"/>
    <x v="0"/>
    <x v="11"/>
    <x v="0"/>
    <x v="0"/>
    <x v="11"/>
    <x v="0"/>
  </r>
  <r>
    <x v="1"/>
    <x v="1"/>
    <x v="0"/>
    <x v="3"/>
    <x v="0"/>
    <n v="265000"/>
    <x v="1"/>
    <x v="12"/>
    <x v="0"/>
    <x v="0"/>
    <x v="12"/>
    <x v="0"/>
  </r>
  <r>
    <x v="1"/>
    <x v="1"/>
    <x v="1"/>
    <x v="4"/>
    <x v="0"/>
    <n v="275000"/>
    <x v="1"/>
    <x v="2"/>
    <x v="0"/>
    <x v="0"/>
    <x v="13"/>
    <x v="0"/>
  </r>
  <r>
    <x v="1"/>
    <x v="1"/>
    <x v="2"/>
    <x v="0"/>
    <x v="0"/>
    <n v="270000"/>
    <x v="1"/>
    <x v="13"/>
    <x v="0"/>
    <x v="0"/>
    <x v="14"/>
    <x v="0"/>
  </r>
  <r>
    <x v="2"/>
    <x v="1"/>
    <x v="0"/>
    <x v="0"/>
    <x v="0"/>
    <n v="560000"/>
    <x v="2"/>
    <x v="14"/>
    <x v="0"/>
    <x v="1"/>
    <x v="15"/>
    <x v="1"/>
  </r>
  <r>
    <x v="2"/>
    <x v="1"/>
    <x v="1"/>
    <x v="1"/>
    <x v="0"/>
    <n v="570000"/>
    <x v="2"/>
    <x v="15"/>
    <x v="0"/>
    <x v="1"/>
    <x v="16"/>
    <x v="1"/>
  </r>
  <r>
    <x v="2"/>
    <x v="1"/>
    <x v="2"/>
    <x v="2"/>
    <x v="0"/>
    <n v="565000"/>
    <x v="2"/>
    <x v="16"/>
    <x v="0"/>
    <x v="1"/>
    <x v="17"/>
    <x v="1"/>
  </r>
  <r>
    <x v="0"/>
    <x v="2"/>
    <x v="0"/>
    <x v="0"/>
    <x v="0"/>
    <n v="240000"/>
    <x v="0"/>
    <x v="17"/>
    <x v="0"/>
    <x v="0"/>
    <x v="18"/>
    <x v="0"/>
  </r>
  <r>
    <x v="0"/>
    <x v="2"/>
    <x v="1"/>
    <x v="1"/>
    <x v="0"/>
    <n v="250000"/>
    <x v="0"/>
    <x v="18"/>
    <x v="0"/>
    <x v="0"/>
    <x v="19"/>
    <x v="0"/>
  </r>
  <r>
    <x v="0"/>
    <x v="2"/>
    <x v="2"/>
    <x v="2"/>
    <x v="0"/>
    <n v="245000"/>
    <x v="0"/>
    <x v="19"/>
    <x v="0"/>
    <x v="0"/>
    <x v="20"/>
    <x v="0"/>
  </r>
  <r>
    <x v="1"/>
    <x v="2"/>
    <x v="0"/>
    <x v="3"/>
    <x v="0"/>
    <n v="270000"/>
    <x v="1"/>
    <x v="20"/>
    <x v="0"/>
    <x v="0"/>
    <x v="21"/>
    <x v="0"/>
  </r>
  <r>
    <x v="1"/>
    <x v="2"/>
    <x v="1"/>
    <x v="4"/>
    <x v="0"/>
    <n v="280000"/>
    <x v="1"/>
    <x v="21"/>
    <x v="0"/>
    <x v="0"/>
    <x v="22"/>
    <x v="0"/>
  </r>
  <r>
    <x v="1"/>
    <x v="2"/>
    <x v="2"/>
    <x v="0"/>
    <x v="0"/>
    <n v="275000"/>
    <x v="1"/>
    <x v="22"/>
    <x v="0"/>
    <x v="0"/>
    <x v="23"/>
    <x v="0"/>
  </r>
  <r>
    <x v="2"/>
    <x v="2"/>
    <x v="0"/>
    <x v="0"/>
    <x v="0"/>
    <n v="570000"/>
    <x v="2"/>
    <x v="23"/>
    <x v="0"/>
    <x v="1"/>
    <x v="24"/>
    <x v="1"/>
  </r>
  <r>
    <x v="2"/>
    <x v="2"/>
    <x v="1"/>
    <x v="1"/>
    <x v="0"/>
    <n v="580000"/>
    <x v="2"/>
    <x v="24"/>
    <x v="0"/>
    <x v="1"/>
    <x v="25"/>
    <x v="1"/>
  </r>
  <r>
    <x v="2"/>
    <x v="2"/>
    <x v="2"/>
    <x v="2"/>
    <x v="0"/>
    <n v="575000"/>
    <x v="2"/>
    <x v="25"/>
    <x v="0"/>
    <x v="1"/>
    <x v="26"/>
    <x v="1"/>
  </r>
  <r>
    <x v="0"/>
    <x v="3"/>
    <x v="0"/>
    <x v="0"/>
    <x v="0"/>
    <n v="250000"/>
    <x v="0"/>
    <x v="26"/>
    <x v="0"/>
    <x v="0"/>
    <x v="27"/>
    <x v="0"/>
  </r>
  <r>
    <x v="0"/>
    <x v="3"/>
    <x v="1"/>
    <x v="1"/>
    <x v="0"/>
    <n v="260000"/>
    <x v="0"/>
    <x v="27"/>
    <x v="0"/>
    <x v="0"/>
    <x v="28"/>
    <x v="0"/>
  </r>
  <r>
    <x v="0"/>
    <x v="3"/>
    <x v="2"/>
    <x v="2"/>
    <x v="0"/>
    <n v="255000"/>
    <x v="0"/>
    <x v="28"/>
    <x v="0"/>
    <x v="0"/>
    <x v="29"/>
    <x v="0"/>
  </r>
  <r>
    <x v="1"/>
    <x v="3"/>
    <x v="0"/>
    <x v="3"/>
    <x v="0"/>
    <n v="280000"/>
    <x v="1"/>
    <x v="29"/>
    <x v="0"/>
    <x v="0"/>
    <x v="30"/>
    <x v="0"/>
  </r>
  <r>
    <x v="1"/>
    <x v="3"/>
    <x v="1"/>
    <x v="4"/>
    <x v="0"/>
    <n v="290000"/>
    <x v="1"/>
    <x v="30"/>
    <x v="0"/>
    <x v="0"/>
    <x v="31"/>
    <x v="0"/>
  </r>
  <r>
    <x v="1"/>
    <x v="3"/>
    <x v="2"/>
    <x v="0"/>
    <x v="0"/>
    <n v="285000"/>
    <x v="1"/>
    <x v="31"/>
    <x v="0"/>
    <x v="0"/>
    <x v="32"/>
    <x v="0"/>
  </r>
  <r>
    <x v="2"/>
    <x v="3"/>
    <x v="0"/>
    <x v="0"/>
    <x v="0"/>
    <n v="580000"/>
    <x v="2"/>
    <x v="32"/>
    <x v="0"/>
    <x v="1"/>
    <x v="33"/>
    <x v="1"/>
  </r>
  <r>
    <x v="2"/>
    <x v="3"/>
    <x v="1"/>
    <x v="1"/>
    <x v="0"/>
    <n v="590000"/>
    <x v="2"/>
    <x v="32"/>
    <x v="0"/>
    <x v="1"/>
    <x v="34"/>
    <x v="1"/>
  </r>
  <r>
    <x v="2"/>
    <x v="3"/>
    <x v="2"/>
    <x v="2"/>
    <x v="0"/>
    <n v="585000"/>
    <x v="2"/>
    <x v="32"/>
    <x v="0"/>
    <x v="1"/>
    <x v="35"/>
    <x v="1"/>
  </r>
  <r>
    <x v="3"/>
    <x v="4"/>
    <x v="0"/>
    <x v="6"/>
    <x v="1"/>
    <n v="500000"/>
    <x v="3"/>
    <x v="33"/>
    <x v="0"/>
    <x v="2"/>
    <x v="36"/>
    <x v="2"/>
  </r>
  <r>
    <x v="3"/>
    <x v="4"/>
    <x v="1"/>
    <x v="1"/>
    <x v="1"/>
    <n v="520000"/>
    <x v="3"/>
    <x v="5"/>
    <x v="0"/>
    <x v="2"/>
    <x v="37"/>
    <x v="2"/>
  </r>
  <r>
    <x v="3"/>
    <x v="4"/>
    <x v="2"/>
    <x v="7"/>
    <x v="1"/>
    <n v="510000"/>
    <x v="3"/>
    <x v="34"/>
    <x v="0"/>
    <x v="2"/>
    <x v="38"/>
    <x v="2"/>
  </r>
  <r>
    <x v="4"/>
    <x v="4"/>
    <x v="0"/>
    <x v="0"/>
    <x v="1"/>
    <n v="300000"/>
    <x v="0"/>
    <x v="35"/>
    <x v="0"/>
    <x v="0"/>
    <x v="39"/>
    <x v="0"/>
  </r>
  <r>
    <x v="4"/>
    <x v="4"/>
    <x v="1"/>
    <x v="5"/>
    <x v="1"/>
    <n v="320000"/>
    <x v="0"/>
    <x v="36"/>
    <x v="0"/>
    <x v="0"/>
    <x v="40"/>
    <x v="0"/>
  </r>
  <r>
    <x v="4"/>
    <x v="4"/>
    <x v="2"/>
    <x v="2"/>
    <x v="1"/>
    <n v="310000"/>
    <x v="0"/>
    <x v="37"/>
    <x v="0"/>
    <x v="0"/>
    <x v="41"/>
    <x v="0"/>
  </r>
  <r>
    <x v="1"/>
    <x v="4"/>
    <x v="0"/>
    <x v="3"/>
    <x v="0"/>
    <n v="290000"/>
    <x v="1"/>
    <x v="38"/>
    <x v="0"/>
    <x v="0"/>
    <x v="42"/>
    <x v="0"/>
  </r>
  <r>
    <x v="1"/>
    <x v="4"/>
    <x v="1"/>
    <x v="4"/>
    <x v="0"/>
    <n v="300000"/>
    <x v="1"/>
    <x v="39"/>
    <x v="0"/>
    <x v="0"/>
    <x v="43"/>
    <x v="0"/>
  </r>
  <r>
    <x v="1"/>
    <x v="4"/>
    <x v="2"/>
    <x v="0"/>
    <x v="0"/>
    <n v="295000"/>
    <x v="1"/>
    <x v="40"/>
    <x v="0"/>
    <x v="0"/>
    <x v="44"/>
    <x v="0"/>
  </r>
  <r>
    <x v="3"/>
    <x v="5"/>
    <x v="0"/>
    <x v="2"/>
    <x v="1"/>
    <n v="550000"/>
    <x v="3"/>
    <x v="41"/>
    <x v="0"/>
    <x v="1"/>
    <x v="45"/>
    <x v="2"/>
  </r>
  <r>
    <x v="3"/>
    <x v="5"/>
    <x v="1"/>
    <x v="6"/>
    <x v="1"/>
    <n v="570000"/>
    <x v="3"/>
    <x v="42"/>
    <x v="0"/>
    <x v="1"/>
    <x v="46"/>
    <x v="2"/>
  </r>
  <r>
    <x v="3"/>
    <x v="5"/>
    <x v="2"/>
    <x v="0"/>
    <x v="1"/>
    <n v="560000"/>
    <x v="3"/>
    <x v="43"/>
    <x v="0"/>
    <x v="1"/>
    <x v="22"/>
    <x v="2"/>
  </r>
  <r>
    <x v="4"/>
    <x v="5"/>
    <x v="0"/>
    <x v="1"/>
    <x v="1"/>
    <n v="330000"/>
    <x v="0"/>
    <x v="44"/>
    <x v="0"/>
    <x v="0"/>
    <x v="47"/>
    <x v="0"/>
  </r>
  <r>
    <x v="4"/>
    <x v="5"/>
    <x v="1"/>
    <x v="0"/>
    <x v="1"/>
    <n v="340000"/>
    <x v="0"/>
    <x v="1"/>
    <x v="0"/>
    <x v="0"/>
    <x v="48"/>
    <x v="0"/>
  </r>
  <r>
    <x v="4"/>
    <x v="5"/>
    <x v="2"/>
    <x v="5"/>
    <x v="1"/>
    <n v="335000"/>
    <x v="0"/>
    <x v="45"/>
    <x v="0"/>
    <x v="0"/>
    <x v="49"/>
    <x v="0"/>
  </r>
  <r>
    <x v="5"/>
    <x v="5"/>
    <x v="0"/>
    <x v="8"/>
    <x v="1"/>
    <n v="380000"/>
    <x v="4"/>
    <x v="46"/>
    <x v="0"/>
    <x v="2"/>
    <x v="50"/>
    <x v="1"/>
  </r>
  <r>
    <x v="5"/>
    <x v="5"/>
    <x v="1"/>
    <x v="4"/>
    <x v="1"/>
    <n v="390000"/>
    <x v="4"/>
    <x v="47"/>
    <x v="0"/>
    <x v="2"/>
    <x v="51"/>
    <x v="1"/>
  </r>
  <r>
    <x v="5"/>
    <x v="5"/>
    <x v="2"/>
    <x v="1"/>
    <x v="1"/>
    <n v="385000"/>
    <x v="4"/>
    <x v="48"/>
    <x v="0"/>
    <x v="2"/>
    <x v="5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2E009-1175-43B6-8684-3A30D5E17250}" name="Count of Model"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dataField="1"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numFmtId="164" showAll="0"/>
    <pivotField showAll="0"/>
    <pivotField showAll="0"/>
    <pivotField showAll="0"/>
    <pivotField showAll="0">
      <items count="4">
        <item x="1"/>
        <item x="0"/>
        <item x="2"/>
        <item t="default"/>
      </items>
    </pivotField>
    <pivotField numFmtId="164" showAll="0"/>
    <pivotField showAll="0"/>
  </pivotFields>
  <rowItems count="1">
    <i/>
  </rowItems>
  <colItems count="1">
    <i/>
  </colItems>
  <dataFields count="1">
    <dataField name="Count of Mode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E310F8-76E2-4FBB-8943-5486AF0401F5}" name="Fuel Type Analysi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90:B93" firstHeaderRow="1" firstDataRow="1" firstDataCol="1" rowPageCount="1" colPageCount="1"/>
  <pivotFields count="12">
    <pivotField showAll="0">
      <items count="7">
        <item x="2"/>
        <item x="1"/>
        <item x="5"/>
        <item x="3"/>
        <item x="0"/>
        <item x="4"/>
        <item t="default"/>
      </items>
    </pivotField>
    <pivotField axis="axisPage" multipleItemSelectionAllowed="1" showAll="0">
      <items count="7">
        <item x="0"/>
        <item x="1"/>
        <item x="2"/>
        <item x="3"/>
        <item x="4"/>
        <item x="5"/>
        <item t="default"/>
      </items>
    </pivotField>
    <pivotField showAll="0">
      <items count="4">
        <item x="1"/>
        <item x="2"/>
        <item x="0"/>
        <item t="default"/>
      </items>
    </pivotField>
    <pivotField showAll="0"/>
    <pivotField axis="axisRow"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pivotField showAll="0">
      <items count="4">
        <item x="2"/>
        <item x="1"/>
        <item x="0"/>
        <item t="default"/>
      </items>
    </pivotField>
  </pivotFields>
  <rowFields count="1">
    <field x="4"/>
  </rowFields>
  <rowItems count="3">
    <i>
      <x/>
    </i>
    <i>
      <x v="1"/>
    </i>
    <i t="grand">
      <x/>
    </i>
  </rowItems>
  <colItems count="1">
    <i/>
  </colItems>
  <pageFields count="1">
    <pageField fld="1" hier="-1"/>
  </pageFields>
  <dataFields count="1">
    <dataField name="Sum of Sales Volume" fld="7" baseField="0" baseItem="0"/>
  </dataFields>
  <chartFormats count="5">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4" count="1" selected="0">
            <x v="0"/>
          </reference>
        </references>
      </pivotArea>
    </chartFormat>
    <chartFormat chart="14"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67A3C7-3AE7-4581-B550-B324412CACF8}" name="Most Popular Fuel Type"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D146:E148" firstHeaderRow="1" firstDataRow="1" firstDataCol="1" rowPageCount="1" colPageCount="1"/>
  <pivotFields count="12">
    <pivotField showAll="0"/>
    <pivotField axis="axisPage" multipleItemSelectionAllowed="1" showAll="0">
      <items count="7">
        <item x="0"/>
        <item x="1"/>
        <item x="2"/>
        <item x="3"/>
        <item x="4"/>
        <item x="5"/>
        <item t="default"/>
      </items>
    </pivotField>
    <pivotField showAll="0">
      <items count="4">
        <item x="1"/>
        <item x="2"/>
        <item x="0"/>
        <item t="default"/>
      </items>
    </pivotField>
    <pivotField showAll="0"/>
    <pivotField axis="axisRow"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pivotField showAll="0">
      <items count="4">
        <item x="2"/>
        <item x="1"/>
        <item x="0"/>
        <item t="default"/>
      </items>
    </pivotField>
  </pivotFields>
  <rowFields count="1">
    <field x="4"/>
  </rowFields>
  <rowItems count="2">
    <i>
      <x/>
    </i>
    <i>
      <x v="1"/>
    </i>
  </rowItems>
  <colItems count="1">
    <i/>
  </colItems>
  <pageFields count="1">
    <pageField fld="1" hier="-1"/>
  </pageFields>
  <dataFields count="1">
    <dataField name="Sum of Sales Volume" fld="7" baseField="0" baseItem="0"/>
  </dataFields>
  <chartFormats count="4">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1B2FC3-43E3-4F15-B546-760C7FD949DB}" name="PivotTable2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7:E125" firstHeaderRow="1" firstDataRow="2" firstDataCol="1"/>
  <pivotFields count="12">
    <pivotField axis="axisRow" showAll="0">
      <items count="7">
        <item x="2"/>
        <item x="1"/>
        <item x="5"/>
        <item x="3"/>
        <item x="0"/>
        <item x="4"/>
        <item t="default"/>
      </items>
    </pivotField>
    <pivotField showAll="0"/>
    <pivotField axis="axisCol" showAll="0">
      <items count="4">
        <item x="1"/>
        <item x="2"/>
        <item x="0"/>
        <item t="default"/>
      </items>
    </pivotField>
    <pivotField showAll="0"/>
    <pivotField showAll="0">
      <items count="3">
        <item x="0"/>
        <item x="1"/>
        <item t="default"/>
      </items>
    </pivotField>
    <pivotField numFmtId="164" showAll="0"/>
    <pivotField showAll="0"/>
    <pivotField dataField="1" showAll="0"/>
    <pivotField showAll="0"/>
    <pivotField showAll="0"/>
    <pivotField numFmtId="164" showAll="0"/>
    <pivotField showAll="0">
      <items count="4">
        <item x="2"/>
        <item x="1"/>
        <item x="0"/>
        <item t="default"/>
      </items>
    </pivotField>
  </pivotFields>
  <rowFields count="1">
    <field x="0"/>
  </rowFields>
  <rowItems count="7">
    <i>
      <x/>
    </i>
    <i>
      <x v="1"/>
    </i>
    <i>
      <x v="2"/>
    </i>
    <i>
      <x v="3"/>
    </i>
    <i>
      <x v="4"/>
    </i>
    <i>
      <x v="5"/>
    </i>
    <i t="grand">
      <x/>
    </i>
  </rowItems>
  <colFields count="1">
    <field x="2"/>
  </colFields>
  <colItems count="4">
    <i>
      <x/>
    </i>
    <i>
      <x v="1"/>
    </i>
    <i>
      <x v="2"/>
    </i>
    <i t="grand">
      <x/>
    </i>
  </colItems>
  <dataFields count="1">
    <dataField name="Sum of Sales Volume" fld="7" baseField="0" baseItem="0"/>
  </dataFields>
  <chartFormats count="6">
    <chartFormat chart="11" format="3" series="1">
      <pivotArea type="data" outline="0" fieldPosition="0">
        <references count="1">
          <reference field="2" count="1" selected="0">
            <x v="0"/>
          </reference>
        </references>
      </pivotArea>
    </chartFormat>
    <chartFormat chart="11" format="4" series="1">
      <pivotArea type="data" outline="0" fieldPosition="0">
        <references count="1">
          <reference field="2" count="1" selected="0">
            <x v="1"/>
          </reference>
        </references>
      </pivotArea>
    </chartFormat>
    <chartFormat chart="11" format="5" series="1">
      <pivotArea type="data" outline="0" fieldPosition="0">
        <references count="1">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BEEEC8-B619-4971-B332-2FA47FA251F5}" name="Most Popular Color"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117:H127" firstHeaderRow="1" firstDataRow="1" firstDataCol="1"/>
  <pivotFields count="12">
    <pivotField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axis="axisRow" showAll="0">
      <items count="10">
        <item x="0"/>
        <item x="6"/>
        <item x="7"/>
        <item x="8"/>
        <item x="4"/>
        <item x="2"/>
        <item x="5"/>
        <item x="1"/>
        <item x="3"/>
        <item t="default"/>
      </items>
    </pivotField>
    <pivotField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pivotField showAll="0">
      <items count="4">
        <item x="2"/>
        <item x="1"/>
        <item x="0"/>
        <item t="default"/>
      </items>
    </pivotField>
  </pivotFields>
  <rowFields count="1">
    <field x="3"/>
  </rowFields>
  <rowItems count="10">
    <i>
      <x/>
    </i>
    <i>
      <x v="1"/>
    </i>
    <i>
      <x v="2"/>
    </i>
    <i>
      <x v="3"/>
    </i>
    <i>
      <x v="4"/>
    </i>
    <i>
      <x v="5"/>
    </i>
    <i>
      <x v="6"/>
    </i>
    <i>
      <x v="7"/>
    </i>
    <i>
      <x v="8"/>
    </i>
    <i t="grand">
      <x/>
    </i>
  </rowItems>
  <colItems count="1">
    <i/>
  </colItems>
  <dataFields count="1">
    <dataField name="Sum of Sales Volume" fld="7" baseField="0" baseItem="0"/>
  </dataFields>
  <chartFormats count="2">
    <chartFormat chart="16"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A7774-50B9-4D54-9F7D-BC3F435D30F4}" name="Sum of Revenu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numFmtId="164" showAll="0"/>
    <pivotField showAll="0"/>
    <pivotField showAll="0"/>
    <pivotField showAll="0"/>
    <pivotField showAll="0">
      <items count="4">
        <item x="1"/>
        <item x="0"/>
        <item x="2"/>
        <item t="default"/>
      </items>
    </pivotField>
    <pivotField dataField="1" numFmtId="164" showAll="0"/>
    <pivotField showAll="0"/>
  </pivotFields>
  <rowItems count="1">
    <i/>
  </rowItems>
  <colItems count="1">
    <i/>
  </colItems>
  <dataFields count="1">
    <dataField name="Sum of Revenu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76E49F-6655-4E77-8999-1BF458965BAA}" name="Model Distribu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B16" firstHeaderRow="1" firstDataRow="1" firstDataCol="1"/>
  <pivotFields count="12">
    <pivotField axis="axisRow"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items count="10">
        <item x="0"/>
        <item x="6"/>
        <item x="7"/>
        <item x="8"/>
        <item x="4"/>
        <item x="2"/>
        <item x="5"/>
        <item x="1"/>
        <item x="3"/>
        <item t="default"/>
      </items>
    </pivotField>
    <pivotField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items count="54">
        <item x="33"/>
        <item x="35"/>
        <item x="34"/>
        <item x="8"/>
        <item x="26"/>
        <item x="17"/>
        <item x="6"/>
        <item x="7"/>
        <item x="5"/>
        <item x="14"/>
        <item x="24"/>
        <item x="52"/>
        <item x="15"/>
        <item x="25"/>
        <item x="38"/>
        <item x="16"/>
        <item x="50"/>
        <item x="23"/>
        <item x="51"/>
        <item x="2"/>
        <item x="44"/>
        <item x="3"/>
        <item x="32"/>
        <item x="11"/>
        <item x="12"/>
        <item x="4"/>
        <item x="36"/>
        <item x="20"/>
        <item x="13"/>
        <item x="37"/>
        <item x="29"/>
        <item x="21"/>
        <item x="49"/>
        <item x="22"/>
        <item x="45"/>
        <item x="41"/>
        <item x="46"/>
        <item x="0"/>
        <item x="42"/>
        <item x="30"/>
        <item x="43"/>
        <item x="1"/>
        <item x="31"/>
        <item x="9"/>
        <item x="10"/>
        <item x="18"/>
        <item x="19"/>
        <item x="27"/>
        <item x="47"/>
        <item x="28"/>
        <item x="48"/>
        <item x="39"/>
        <item x="40"/>
        <item t="default"/>
      </items>
    </pivotField>
    <pivotField showAll="0"/>
  </pivotFields>
  <rowFields count="1">
    <field x="0"/>
  </rowFields>
  <rowItems count="7">
    <i>
      <x/>
    </i>
    <i>
      <x v="1"/>
    </i>
    <i>
      <x v="2"/>
    </i>
    <i>
      <x v="3"/>
    </i>
    <i>
      <x v="4"/>
    </i>
    <i>
      <x v="5"/>
    </i>
    <i t="grand">
      <x/>
    </i>
  </rowItems>
  <colItems count="1">
    <i/>
  </colItems>
  <dataFields count="1">
    <dataField name="Sum of Sales Volume" fld="7"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7" format="35" series="1">
      <pivotArea type="data" outline="0" fieldPosition="0">
        <references count="1">
          <reference field="4294967294" count="1" selected="0">
            <x v="0"/>
          </reference>
        </references>
      </pivotArea>
    </chartFormat>
    <chartFormat chart="7" format="36">
      <pivotArea type="data" outline="0" fieldPosition="0">
        <references count="2">
          <reference field="4294967294" count="1" selected="0">
            <x v="0"/>
          </reference>
          <reference field="0" count="1" selected="0">
            <x v="0"/>
          </reference>
        </references>
      </pivotArea>
    </chartFormat>
    <chartFormat chart="7" format="37">
      <pivotArea type="data" outline="0" fieldPosition="0">
        <references count="2">
          <reference field="4294967294" count="1" selected="0">
            <x v="0"/>
          </reference>
          <reference field="0" count="1" selected="0">
            <x v="1"/>
          </reference>
        </references>
      </pivotArea>
    </chartFormat>
    <chartFormat chart="7" format="38">
      <pivotArea type="data" outline="0" fieldPosition="0">
        <references count="2">
          <reference field="4294967294" count="1" selected="0">
            <x v="0"/>
          </reference>
          <reference field="0" count="1" selected="0">
            <x v="2"/>
          </reference>
        </references>
      </pivotArea>
    </chartFormat>
    <chartFormat chart="7" format="39">
      <pivotArea type="data" outline="0" fieldPosition="0">
        <references count="2">
          <reference field="4294967294" count="1" selected="0">
            <x v="0"/>
          </reference>
          <reference field="0" count="1" selected="0">
            <x v="3"/>
          </reference>
        </references>
      </pivotArea>
    </chartFormat>
    <chartFormat chart="7" format="40">
      <pivotArea type="data" outline="0" fieldPosition="0">
        <references count="2">
          <reference field="4294967294" count="1" selected="0">
            <x v="0"/>
          </reference>
          <reference field="0" count="1" selected="0">
            <x v="4"/>
          </reference>
        </references>
      </pivotArea>
    </chartFormat>
    <chartFormat chart="7" format="41">
      <pivotArea type="data" outline="0" fieldPosition="0">
        <references count="2">
          <reference field="4294967294" count="1" selected="0">
            <x v="0"/>
          </reference>
          <reference field="0" count="1" selected="0">
            <x v="5"/>
          </reference>
        </references>
      </pivotArea>
    </chartFormat>
    <chartFormat chart="12" format="42" series="1">
      <pivotArea type="data" outline="0" fieldPosition="0">
        <references count="1">
          <reference field="4294967294" count="1" selected="0">
            <x v="0"/>
          </reference>
        </references>
      </pivotArea>
    </chartFormat>
    <chartFormat chart="12" format="43">
      <pivotArea type="data" outline="0" fieldPosition="0">
        <references count="2">
          <reference field="4294967294" count="1" selected="0">
            <x v="0"/>
          </reference>
          <reference field="0" count="1" selected="0">
            <x v="0"/>
          </reference>
        </references>
      </pivotArea>
    </chartFormat>
    <chartFormat chart="12" format="44">
      <pivotArea type="data" outline="0" fieldPosition="0">
        <references count="2">
          <reference field="4294967294" count="1" selected="0">
            <x v="0"/>
          </reference>
          <reference field="0" count="1" selected="0">
            <x v="1"/>
          </reference>
        </references>
      </pivotArea>
    </chartFormat>
    <chartFormat chart="12" format="45">
      <pivotArea type="data" outline="0" fieldPosition="0">
        <references count="2">
          <reference field="4294967294" count="1" selected="0">
            <x v="0"/>
          </reference>
          <reference field="0" count="1" selected="0">
            <x v="2"/>
          </reference>
        </references>
      </pivotArea>
    </chartFormat>
    <chartFormat chart="12" format="46">
      <pivotArea type="data" outline="0" fieldPosition="0">
        <references count="2">
          <reference field="4294967294" count="1" selected="0">
            <x v="0"/>
          </reference>
          <reference field="0" count="1" selected="0">
            <x v="3"/>
          </reference>
        </references>
      </pivotArea>
    </chartFormat>
    <chartFormat chart="12" format="47">
      <pivotArea type="data" outline="0" fieldPosition="0">
        <references count="2">
          <reference field="4294967294" count="1" selected="0">
            <x v="0"/>
          </reference>
          <reference field="0" count="1" selected="0">
            <x v="4"/>
          </reference>
        </references>
      </pivotArea>
    </chartFormat>
    <chartFormat chart="12" format="48">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92457E-178F-4431-B461-1EBB9413F45F}" name="Regional Sales Analysi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9:G13" firstHeaderRow="1" firstDataRow="1" firstDataCol="1"/>
  <pivotFields count="12">
    <pivotField showAll="0">
      <items count="7">
        <item x="2"/>
        <item x="1"/>
        <item x="5"/>
        <item x="3"/>
        <item x="0"/>
        <item x="4"/>
        <item t="default"/>
      </items>
    </pivotField>
    <pivotField showAll="0">
      <items count="7">
        <item x="0"/>
        <item x="1"/>
        <item x="2"/>
        <item x="3"/>
        <item x="4"/>
        <item x="5"/>
        <item t="default"/>
      </items>
    </pivotField>
    <pivotField axis="axisRow" showAll="0">
      <items count="4">
        <item x="1"/>
        <item x="2"/>
        <item x="0"/>
        <item t="default"/>
      </items>
    </pivotField>
    <pivotField showAll="0"/>
    <pivotField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pivotField showAll="0"/>
  </pivotFields>
  <rowFields count="1">
    <field x="2"/>
  </rowFields>
  <rowItems count="4">
    <i>
      <x/>
    </i>
    <i>
      <x v="1"/>
    </i>
    <i>
      <x v="2"/>
    </i>
    <i t="grand">
      <x/>
    </i>
  </rowItems>
  <colItems count="1">
    <i/>
  </colItems>
  <dataFields count="1">
    <dataField name="Sum of Sales Volume"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5C0C25-C6CB-4EE4-8CB0-74D1DD1B8D40}" name="Horsepower Distribu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B69" firstHeaderRow="1" firstDataRow="1" firstDataCol="1"/>
  <pivotFields count="12">
    <pivotField showAll="0"/>
    <pivotField showAll="0"/>
    <pivotField showAll="0"/>
    <pivotField showAll="0"/>
    <pivotField showAll="0"/>
    <pivotField numFmtId="164" showAll="0"/>
    <pivotField dataField="1" showAll="0"/>
    <pivotField showAll="0"/>
    <pivotField showAll="0"/>
    <pivotField showAll="0"/>
    <pivotField numFmtId="164"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Sum of Horsepower" fld="6" baseField="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 chart="7"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C2BF75-01C5-4CF7-8BCD-58EDCE383762}" name="Yearly Sales Trend"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9:K16" firstHeaderRow="1" firstDataRow="1" firstDataCol="1"/>
  <pivotFields count="12">
    <pivotField showAll="0">
      <items count="7">
        <item x="2"/>
        <item x="1"/>
        <item x="5"/>
        <item x="3"/>
        <item x="0"/>
        <item x="4"/>
        <item t="default"/>
      </items>
    </pivotField>
    <pivotField axis="axisRow"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pivotField showAll="0"/>
  </pivotFields>
  <rowFields count="1">
    <field x="1"/>
  </rowFields>
  <rowItems count="7">
    <i>
      <x/>
    </i>
    <i>
      <x v="1"/>
    </i>
    <i>
      <x v="2"/>
    </i>
    <i>
      <x v="3"/>
    </i>
    <i>
      <x v="4"/>
    </i>
    <i>
      <x v="5"/>
    </i>
    <i t="grand">
      <x/>
    </i>
  </rowItems>
  <colItems count="1">
    <i/>
  </colItems>
  <dataFields count="1">
    <dataField name="Sum of Sales Volume" fld="7" baseField="0" baseItem="0"/>
  </dataFields>
  <formats count="1">
    <format dxfId="54">
      <pivotArea grandRow="1"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 chart="5" format="18">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FA5716-E676-4423-84CC-3C7FE57BC8C9}" name="Price Distribu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B41" firstHeaderRow="1" firstDataRow="1" firstDataCol="1"/>
  <pivotFields count="12">
    <pivotField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dataField="1" numFmtId="164" showAll="0"/>
    <pivotField showAll="0"/>
    <pivotField showAll="0"/>
    <pivotField showAll="0"/>
    <pivotField axis="axisRow" showAll="0">
      <items count="4">
        <item x="1"/>
        <item x="2"/>
        <item x="0"/>
        <item t="default"/>
      </items>
    </pivotField>
    <pivotField numFmtId="164" showAll="0"/>
    <pivotField showAll="0"/>
  </pivotFields>
  <rowFields count="1">
    <field x="9"/>
  </rowFields>
  <rowItems count="4">
    <i>
      <x/>
    </i>
    <i>
      <x v="1"/>
    </i>
    <i>
      <x v="2"/>
    </i>
    <i t="grand">
      <x/>
    </i>
  </rowItems>
  <colItems count="1">
    <i/>
  </colItems>
  <dataFields count="1">
    <dataField name="Sum of Base Price (USD)" fld="5" baseField="0" baseItem="0" numFmtId="164"/>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CFC5F3-79CD-4283-BB65-9646AD0A5AD9}" name="Best Selling Model"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G146:H152" firstHeaderRow="1" firstDataRow="1" firstDataCol="1" rowPageCount="1" colPageCount="1"/>
  <pivotFields count="12">
    <pivotField axis="axisRow" showAll="0">
      <items count="7">
        <item x="2"/>
        <item x="1"/>
        <item n="HuracÃ¡n (Tem...)" x="5"/>
        <item x="3"/>
        <item x="0"/>
        <item x="4"/>
        <item t="default"/>
      </items>
    </pivotField>
    <pivotField axis="axisPage" multipleItemSelectionAllowed="1" showAll="0">
      <items count="7">
        <item x="0"/>
        <item x="1"/>
        <item x="2"/>
        <item x="3"/>
        <item x="4"/>
        <item x="5"/>
        <item t="default"/>
      </items>
    </pivotField>
    <pivotField showAll="0">
      <items count="4">
        <item x="1"/>
        <item x="2"/>
        <item x="0"/>
        <item t="default"/>
      </items>
    </pivotField>
    <pivotField showAll="0">
      <items count="10">
        <item x="0"/>
        <item x="6"/>
        <item x="7"/>
        <item x="8"/>
        <item x="4"/>
        <item x="2"/>
        <item x="5"/>
        <item x="1"/>
        <item x="3"/>
        <item t="default"/>
      </items>
    </pivotField>
    <pivotField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items count="54">
        <item x="33"/>
        <item x="35"/>
        <item x="34"/>
        <item x="8"/>
        <item x="26"/>
        <item x="17"/>
        <item x="6"/>
        <item x="7"/>
        <item x="5"/>
        <item x="14"/>
        <item x="24"/>
        <item x="52"/>
        <item x="15"/>
        <item x="25"/>
        <item x="38"/>
        <item x="16"/>
        <item x="50"/>
        <item x="23"/>
        <item x="51"/>
        <item x="2"/>
        <item x="44"/>
        <item x="3"/>
        <item x="32"/>
        <item x="11"/>
        <item x="12"/>
        <item x="4"/>
        <item x="36"/>
        <item x="20"/>
        <item x="13"/>
        <item x="37"/>
        <item x="29"/>
        <item x="21"/>
        <item x="49"/>
        <item x="22"/>
        <item x="45"/>
        <item x="41"/>
        <item x="46"/>
        <item x="0"/>
        <item x="42"/>
        <item x="30"/>
        <item x="43"/>
        <item x="1"/>
        <item x="31"/>
        <item x="9"/>
        <item x="10"/>
        <item x="18"/>
        <item x="19"/>
        <item x="27"/>
        <item x="47"/>
        <item x="28"/>
        <item x="48"/>
        <item x="39"/>
        <item x="40"/>
        <item t="default"/>
      </items>
    </pivotField>
    <pivotField showAll="0"/>
  </pivotFields>
  <rowFields count="1">
    <field x="0"/>
  </rowFields>
  <rowItems count="6">
    <i>
      <x/>
    </i>
    <i>
      <x v="1"/>
    </i>
    <i>
      <x v="2"/>
    </i>
    <i>
      <x v="3"/>
    </i>
    <i>
      <x v="4"/>
    </i>
    <i>
      <x v="5"/>
    </i>
  </rowItems>
  <colItems count="1">
    <i/>
  </colItems>
  <pageFields count="1">
    <pageField fld="1" hier="-1"/>
  </pageFields>
  <dataFields count="1">
    <dataField name="Sum of Sales Volume" fld="7"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7" format="35" series="1">
      <pivotArea type="data" outline="0" fieldPosition="0">
        <references count="1">
          <reference field="4294967294" count="1" selected="0">
            <x v="0"/>
          </reference>
        </references>
      </pivotArea>
    </chartFormat>
    <chartFormat chart="7" format="36">
      <pivotArea type="data" outline="0" fieldPosition="0">
        <references count="2">
          <reference field="4294967294" count="1" selected="0">
            <x v="0"/>
          </reference>
          <reference field="0" count="1" selected="0">
            <x v="0"/>
          </reference>
        </references>
      </pivotArea>
    </chartFormat>
    <chartFormat chart="7" format="37">
      <pivotArea type="data" outline="0" fieldPosition="0">
        <references count="2">
          <reference field="4294967294" count="1" selected="0">
            <x v="0"/>
          </reference>
          <reference field="0" count="1" selected="0">
            <x v="1"/>
          </reference>
        </references>
      </pivotArea>
    </chartFormat>
    <chartFormat chart="7" format="38">
      <pivotArea type="data" outline="0" fieldPosition="0">
        <references count="2">
          <reference field="4294967294" count="1" selected="0">
            <x v="0"/>
          </reference>
          <reference field="0" count="1" selected="0">
            <x v="2"/>
          </reference>
        </references>
      </pivotArea>
    </chartFormat>
    <chartFormat chart="7" format="39">
      <pivotArea type="data" outline="0" fieldPosition="0">
        <references count="2">
          <reference field="4294967294" count="1" selected="0">
            <x v="0"/>
          </reference>
          <reference field="0" count="1" selected="0">
            <x v="3"/>
          </reference>
        </references>
      </pivotArea>
    </chartFormat>
    <chartFormat chart="7" format="40">
      <pivotArea type="data" outline="0" fieldPosition="0">
        <references count="2">
          <reference field="4294967294" count="1" selected="0">
            <x v="0"/>
          </reference>
          <reference field="0" count="1" selected="0">
            <x v="4"/>
          </reference>
        </references>
      </pivotArea>
    </chartFormat>
    <chartFormat chart="7" format="41">
      <pivotArea type="data" outline="0" fieldPosition="0">
        <references count="2">
          <reference field="4294967294" count="1" selected="0">
            <x v="0"/>
          </reference>
          <reference field="0" count="1" selected="0">
            <x v="5"/>
          </reference>
        </references>
      </pivotArea>
    </chartFormat>
    <chartFormat chart="12" format="42" series="1">
      <pivotArea type="data" outline="0" fieldPosition="0">
        <references count="1">
          <reference field="4294967294" count="1" selected="0">
            <x v="0"/>
          </reference>
        </references>
      </pivotArea>
    </chartFormat>
    <chartFormat chart="12" format="43">
      <pivotArea type="data" outline="0" fieldPosition="0">
        <references count="2">
          <reference field="4294967294" count="1" selected="0">
            <x v="0"/>
          </reference>
          <reference field="0" count="1" selected="0">
            <x v="0"/>
          </reference>
        </references>
      </pivotArea>
    </chartFormat>
    <chartFormat chart="12" format="44">
      <pivotArea type="data" outline="0" fieldPosition="0">
        <references count="2">
          <reference field="4294967294" count="1" selected="0">
            <x v="0"/>
          </reference>
          <reference field="0" count="1" selected="0">
            <x v="1"/>
          </reference>
        </references>
      </pivotArea>
    </chartFormat>
    <chartFormat chart="12" format="45">
      <pivotArea type="data" outline="0" fieldPosition="0">
        <references count="2">
          <reference field="4294967294" count="1" selected="0">
            <x v="0"/>
          </reference>
          <reference field="0" count="1" selected="0">
            <x v="2"/>
          </reference>
        </references>
      </pivotArea>
    </chartFormat>
    <chartFormat chart="12" format="46">
      <pivotArea type="data" outline="0" fieldPosition="0">
        <references count="2">
          <reference field="4294967294" count="1" selected="0">
            <x v="0"/>
          </reference>
          <reference field="0" count="1" selected="0">
            <x v="3"/>
          </reference>
        </references>
      </pivotArea>
    </chartFormat>
    <chartFormat chart="12" format="47">
      <pivotArea type="data" outline="0" fieldPosition="0">
        <references count="2">
          <reference field="4294967294" count="1" selected="0">
            <x v="0"/>
          </reference>
          <reference field="0" count="1" selected="0">
            <x v="4"/>
          </reference>
        </references>
      </pivotArea>
    </chartFormat>
    <chartFormat chart="12" format="48">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C90306-FE39-4919-89DF-B2A06BF77115}" name="Horsepower vs Sales Relationship"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65:F69" firstHeaderRow="1" firstDataRow="1" firstDataCol="1"/>
  <pivotFields count="12">
    <pivotField showAll="0"/>
    <pivotField showAll="0"/>
    <pivotField showAll="0"/>
    <pivotField showAll="0"/>
    <pivotField showAll="0"/>
    <pivotField numFmtId="164" showAll="0"/>
    <pivotField showAll="0"/>
    <pivotField dataField="1" showAll="0">
      <items count="50">
        <item x="32"/>
        <item x="8"/>
        <item x="25"/>
        <item x="16"/>
        <item x="6"/>
        <item x="7"/>
        <item x="23"/>
        <item x="24"/>
        <item x="14"/>
        <item x="15"/>
        <item x="34"/>
        <item x="48"/>
        <item x="46"/>
        <item x="47"/>
        <item x="33"/>
        <item x="5"/>
        <item x="13"/>
        <item x="43"/>
        <item x="41"/>
        <item x="42"/>
        <item x="22"/>
        <item x="40"/>
        <item x="31"/>
        <item x="3"/>
        <item x="12"/>
        <item x="4"/>
        <item x="2"/>
        <item x="45"/>
        <item x="11"/>
        <item x="19"/>
        <item x="28"/>
        <item x="20"/>
        <item x="37"/>
        <item x="21"/>
        <item x="38"/>
        <item x="39"/>
        <item x="29"/>
        <item x="30"/>
        <item x="0"/>
        <item x="44"/>
        <item x="1"/>
        <item x="9"/>
        <item x="10"/>
        <item x="17"/>
        <item x="18"/>
        <item x="35"/>
        <item x="36"/>
        <item x="26"/>
        <item x="27"/>
        <item t="default"/>
      </items>
    </pivotField>
    <pivotField showAll="0"/>
    <pivotField showAll="0"/>
    <pivotField numFmtId="164"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Sum of Sales Volume" fld="7"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84CC6B-7A30-4937-A2CF-0E140E2F6683}" name="Fuel Type Pricing Comparis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90:F93" firstHeaderRow="1" firstDataRow="1" firstDataCol="1"/>
  <pivotFields count="12">
    <pivotField showAll="0"/>
    <pivotField showAll="0"/>
    <pivotField showAll="0"/>
    <pivotField showAll="0"/>
    <pivotField axis="axisRow" showAll="0">
      <items count="3">
        <item x="0"/>
        <item x="1"/>
        <item t="default"/>
      </items>
    </pivotField>
    <pivotField dataField="1" numFmtId="164" showAll="0"/>
    <pivotField showAll="0"/>
    <pivotField showAll="0"/>
    <pivotField showAll="0"/>
    <pivotField showAll="0"/>
    <pivotField numFmtId="164" showAll="0"/>
    <pivotField showAll="0">
      <items count="4">
        <item x="2"/>
        <item x="1"/>
        <item x="0"/>
        <item t="default"/>
      </items>
    </pivotField>
  </pivotFields>
  <rowFields count="1">
    <field x="4"/>
  </rowFields>
  <rowItems count="3">
    <i>
      <x/>
    </i>
    <i>
      <x v="1"/>
    </i>
    <i t="grand">
      <x/>
    </i>
  </rowItems>
  <colItems count="1">
    <i/>
  </colItems>
  <dataFields count="1">
    <dataField name="Average of Base Price (USD)" fld="5" subtotal="average" baseField="4" baseItem="0" numFmtId="164"/>
  </dataFields>
  <chartFormats count="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EDD12B-5069-4C75-B759-30DCF945B894}" name="Average of Horsepower"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numFmtId="164" showAll="0"/>
    <pivotField dataField="1" showAll="0"/>
    <pivotField showAll="0"/>
    <pivotField showAll="0"/>
    <pivotField showAll="0">
      <items count="4">
        <item x="1"/>
        <item x="0"/>
        <item x="2"/>
        <item t="default"/>
      </items>
    </pivotField>
    <pivotField numFmtId="164" showAll="0"/>
    <pivotField showAll="0"/>
  </pivotFields>
  <rowItems count="1">
    <i/>
  </rowItems>
  <colItems count="1">
    <i/>
  </colItems>
  <dataFields count="1">
    <dataField name="Average of Horsepower"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34BE43-B069-4790-B3FF-8B0082D91A00}" name="Revenue Analysis by Model"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I38:J45" firstHeaderRow="1" firstDataRow="1" firstDataCol="1"/>
  <pivotFields count="12">
    <pivotField axis="axisRow"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numFmtId="164" showAll="0"/>
    <pivotField showAll="0"/>
    <pivotField showAll="0"/>
    <pivotField showAll="0"/>
    <pivotField showAll="0"/>
    <pivotField dataField="1" numFmtId="164" showAll="0"/>
    <pivotField showAll="0"/>
  </pivotFields>
  <rowFields count="1">
    <field x="0"/>
  </rowFields>
  <rowItems count="7">
    <i>
      <x/>
    </i>
    <i>
      <x v="1"/>
    </i>
    <i>
      <x v="2"/>
    </i>
    <i>
      <x v="3"/>
    </i>
    <i>
      <x v="4"/>
    </i>
    <i>
      <x v="5"/>
    </i>
    <i t="grand">
      <x/>
    </i>
  </rowItems>
  <colItems count="1">
    <i/>
  </colItems>
  <dataFields count="1">
    <dataField name="Sum of Revenue" fld="10" baseField="0" baseItem="0" numFmtId="164"/>
  </dataFields>
  <chartFormats count="7">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5"/>
          </reference>
        </references>
      </pivotArea>
    </chartFormat>
    <chartFormat chart="7" format="2">
      <pivotArea type="data" outline="0" fieldPosition="0">
        <references count="2">
          <reference field="4294967294" count="1" selected="0">
            <x v="0"/>
          </reference>
          <reference field="0" count="1" selected="0">
            <x v="4"/>
          </reference>
        </references>
      </pivotArea>
    </chartFormat>
    <chartFormat chart="7" format="3">
      <pivotArea type="data" outline="0" fieldPosition="0">
        <references count="2">
          <reference field="4294967294" count="1" selected="0">
            <x v="0"/>
          </reference>
          <reference field="0" count="1" selected="0">
            <x v="3"/>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927BBDA-D09C-4DD2-8FC5-98DB20554504}" name="Revenue by Reg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P38:Q42" firstHeaderRow="1" firstDataRow="1" firstDataCol="1"/>
  <pivotFields count="12">
    <pivotField showAll="0">
      <items count="7">
        <item x="2"/>
        <item x="1"/>
        <item x="5"/>
        <item x="3"/>
        <item x="0"/>
        <item x="4"/>
        <item t="default"/>
      </items>
    </pivotField>
    <pivotField showAll="0">
      <items count="7">
        <item x="0"/>
        <item x="1"/>
        <item x="2"/>
        <item x="3"/>
        <item x="4"/>
        <item x="5"/>
        <item t="default"/>
      </items>
    </pivotField>
    <pivotField axis="axisRow" showAll="0">
      <items count="4">
        <item x="1"/>
        <item x="2"/>
        <item x="0"/>
        <item t="default"/>
      </items>
    </pivotField>
    <pivotField showAll="0"/>
    <pivotField showAll="0">
      <items count="3">
        <item x="0"/>
        <item x="1"/>
        <item t="default"/>
      </items>
    </pivotField>
    <pivotField numFmtId="164" showAll="0"/>
    <pivotField showAll="0"/>
    <pivotField showAll="0"/>
    <pivotField showAll="0"/>
    <pivotField showAll="0">
      <items count="4">
        <item x="1"/>
        <item x="0"/>
        <item x="2"/>
        <item t="default"/>
      </items>
    </pivotField>
    <pivotField dataField="1" numFmtId="164" showAll="0"/>
    <pivotField showAll="0"/>
  </pivotFields>
  <rowFields count="1">
    <field x="2"/>
  </rowFields>
  <rowItems count="4">
    <i>
      <x/>
    </i>
    <i>
      <x v="1"/>
    </i>
    <i>
      <x v="2"/>
    </i>
    <i t="grand">
      <x/>
    </i>
  </rowItems>
  <colItems count="1">
    <i/>
  </colItems>
  <dataFields count="1">
    <dataField name="Sum of Revenue" fld="10" baseField="0" baseItem="0" numFmtId="164"/>
  </dataFields>
  <chartFormats count="6">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 count="1" selected="0">
            <x v="2"/>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 chart="18"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9C52CF0-36AD-4941-A45A-711324234537}" name="Performance vs Pric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65:J69" firstHeaderRow="1" firstDataRow="1" firstDataCol="1"/>
  <pivotFields count="12">
    <pivotField showAll="0"/>
    <pivotField showAll="0"/>
    <pivotField showAll="0"/>
    <pivotField showAll="0"/>
    <pivotField showAll="0"/>
    <pivotField dataField="1" numFmtId="164" showAll="0"/>
    <pivotField showAll="0"/>
    <pivotField showAll="0">
      <items count="50">
        <item x="32"/>
        <item x="8"/>
        <item x="25"/>
        <item x="16"/>
        <item x="6"/>
        <item x="7"/>
        <item x="23"/>
        <item x="24"/>
        <item x="14"/>
        <item x="15"/>
        <item x="34"/>
        <item x="48"/>
        <item x="46"/>
        <item x="47"/>
        <item x="33"/>
        <item x="5"/>
        <item x="13"/>
        <item x="43"/>
        <item x="41"/>
        <item x="42"/>
        <item x="22"/>
        <item x="40"/>
        <item x="31"/>
        <item x="3"/>
        <item x="12"/>
        <item x="4"/>
        <item x="2"/>
        <item x="45"/>
        <item x="11"/>
        <item x="19"/>
        <item x="28"/>
        <item x="20"/>
        <item x="37"/>
        <item x="21"/>
        <item x="38"/>
        <item x="39"/>
        <item x="29"/>
        <item x="30"/>
        <item x="0"/>
        <item x="44"/>
        <item x="1"/>
        <item x="9"/>
        <item x="10"/>
        <item x="17"/>
        <item x="18"/>
        <item x="35"/>
        <item x="36"/>
        <item x="26"/>
        <item x="27"/>
        <item t="default"/>
      </items>
    </pivotField>
    <pivotField showAll="0"/>
    <pivotField showAll="0"/>
    <pivotField numFmtId="164"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Average of Base Price (USD)" fld="5" subtotal="average" baseField="11" baseItem="0" numFmtId="164"/>
  </dataFields>
  <chartFormats count="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1" count="1" selected="0">
            <x v="0"/>
          </reference>
        </references>
      </pivotArea>
    </chartFormat>
    <chartFormat chart="11"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6038830-EA85-4748-9DEE-D84170312A27}" name="Average of Base Price (USD)"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dataField="1" numFmtId="164" showAll="0"/>
    <pivotField showAll="0"/>
    <pivotField showAll="0"/>
    <pivotField showAll="0"/>
    <pivotField showAll="0">
      <items count="4">
        <item x="1"/>
        <item x="0"/>
        <item x="2"/>
        <item t="default"/>
      </items>
    </pivotField>
    <pivotField numFmtId="164" showAll="0"/>
    <pivotField showAll="0"/>
  </pivotFields>
  <rowItems count="1">
    <i/>
  </rowItems>
  <colItems count="1">
    <i/>
  </colItems>
  <dataFields count="1">
    <dataField name="Average of Base Price (USD)"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0EF2E5-FC77-434B-A34B-6E0509370762}" name="Highest Revenue Region"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146:B149" firstHeaderRow="1" firstDataRow="1" firstDataCol="1" rowPageCount="1" colPageCount="1"/>
  <pivotFields count="12">
    <pivotField showAll="0">
      <items count="7">
        <item x="2"/>
        <item x="1"/>
        <item x="5"/>
        <item x="3"/>
        <item x="0"/>
        <item x="4"/>
        <item t="default"/>
      </items>
    </pivotField>
    <pivotField axis="axisPage" multipleItemSelectionAllowed="1" showAll="0">
      <items count="7">
        <item x="0"/>
        <item x="1"/>
        <item x="2"/>
        <item x="3"/>
        <item x="4"/>
        <item x="5"/>
        <item t="default"/>
      </items>
    </pivotField>
    <pivotField axis="axisRow" showAll="0">
      <items count="4">
        <item x="1"/>
        <item x="2"/>
        <item x="0"/>
        <item t="default"/>
      </items>
    </pivotField>
    <pivotField showAll="0">
      <items count="10">
        <item x="0"/>
        <item x="6"/>
        <item x="7"/>
        <item x="8"/>
        <item x="4"/>
        <item x="2"/>
        <item x="5"/>
        <item x="1"/>
        <item x="3"/>
        <item t="default"/>
      </items>
    </pivotField>
    <pivotField showAll="0">
      <items count="3">
        <item x="0"/>
        <item x="1"/>
        <item t="default"/>
      </items>
    </pivotField>
    <pivotField numFmtId="164" showAll="0"/>
    <pivotField showAll="0"/>
    <pivotField showAll="0"/>
    <pivotField showAll="0"/>
    <pivotField showAll="0">
      <items count="4">
        <item x="1"/>
        <item x="0"/>
        <item x="2"/>
        <item t="default"/>
      </items>
    </pivotField>
    <pivotField dataField="1" numFmtId="164" showAll="0"/>
    <pivotField showAll="0">
      <items count="4">
        <item x="2"/>
        <item x="1"/>
        <item x="0"/>
        <item t="default"/>
      </items>
    </pivotField>
  </pivotFields>
  <rowFields count="1">
    <field x="2"/>
  </rowFields>
  <rowItems count="3">
    <i>
      <x/>
    </i>
    <i>
      <x v="1"/>
    </i>
    <i>
      <x v="2"/>
    </i>
  </rowItems>
  <colItems count="1">
    <i/>
  </colItems>
  <pageFields count="1">
    <pageField fld="1" hier="-1"/>
  </pageFields>
  <dataFields count="1">
    <dataField name="Sum of Revenu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D6FB87E-2C3D-443B-A6E7-6E977E5C3BE3}" name="Sum of Sales Volum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2">
    <pivotField showAll="0">
      <items count="7">
        <item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numFmtId="164" showAll="0"/>
    <pivotField showAll="0"/>
    <pivotField dataField="1" showAll="0"/>
    <pivotField showAll="0"/>
    <pivotField showAll="0">
      <items count="4">
        <item x="1"/>
        <item x="0"/>
        <item x="2"/>
        <item t="default"/>
      </items>
    </pivotField>
    <pivotField numFmtId="164" showAll="0"/>
    <pivotField showAll="0"/>
  </pivotFields>
  <rowItems count="1">
    <i/>
  </rowItems>
  <colItems count="1">
    <i/>
  </colItems>
  <dataFields count="1">
    <dataField name="Sum of Sales Volum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55AE8E0-5DBF-4BE4-8E45-048F5FCDAA3D}" name="Price by Model"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7:F44" firstHeaderRow="1" firstDataRow="1" firstDataCol="1"/>
  <pivotFields count="12">
    <pivotField axis="axisRow" showAll="0">
      <items count="7">
        <item x="2"/>
        <item x="1"/>
        <item x="5"/>
        <item x="3"/>
        <item x="0"/>
        <item x="4"/>
        <item t="default"/>
      </items>
    </pivotField>
    <pivotField showAll="0"/>
    <pivotField showAll="0"/>
    <pivotField showAll="0"/>
    <pivotField showAll="0"/>
    <pivotField dataField="1" numFmtId="164" showAll="0"/>
    <pivotField showAll="0"/>
    <pivotField showAll="0"/>
    <pivotField showAll="0"/>
    <pivotField showAll="0"/>
    <pivotField numFmtId="164" showAll="0"/>
    <pivotField showAll="0"/>
  </pivotFields>
  <rowFields count="1">
    <field x="0"/>
  </rowFields>
  <rowItems count="7">
    <i>
      <x/>
    </i>
    <i>
      <x v="1"/>
    </i>
    <i>
      <x v="2"/>
    </i>
    <i>
      <x v="3"/>
    </i>
    <i>
      <x v="4"/>
    </i>
    <i>
      <x v="5"/>
    </i>
    <i t="grand">
      <x/>
    </i>
  </rowItems>
  <colItems count="1">
    <i/>
  </colItems>
  <dataFields count="1">
    <dataField name="Average of Base Price (USD)" fld="5" subtotal="average" baseField="0" baseItem="2" numFmtId="16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2C7A56D-DEAF-4289-9411-3581199FD00F}" name="PivotTable2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117:L118" firstHeaderRow="0" firstDataRow="1" firstDataCol="0" rowPageCount="2" colPageCount="1"/>
  <pivotFields count="12">
    <pivotField showAll="0">
      <items count="7">
        <item x="2"/>
        <item x="1"/>
        <item x="5"/>
        <item x="3"/>
        <item x="0"/>
        <item x="4"/>
        <item t="default"/>
      </items>
    </pivotField>
    <pivotField showAll="0"/>
    <pivotField showAll="0">
      <items count="4">
        <item x="1"/>
        <item x="2"/>
        <item x="0"/>
        <item t="default"/>
      </items>
    </pivotField>
    <pivotField showAll="0">
      <items count="10">
        <item x="0"/>
        <item x="6"/>
        <item x="7"/>
        <item x="8"/>
        <item x="4"/>
        <item x="2"/>
        <item x="5"/>
        <item x="1"/>
        <item x="3"/>
        <item t="default"/>
      </items>
    </pivotField>
    <pivotField showAll="0">
      <items count="3">
        <item x="0"/>
        <item x="1"/>
        <item t="default"/>
      </items>
    </pivotField>
    <pivotField dataField="1" numFmtId="164" showAll="0"/>
    <pivotField multipleItemSelectionAllowed="1" showAll="0">
      <items count="6">
        <item x="1"/>
        <item x="0"/>
        <item x="2"/>
        <item x="4"/>
        <item x="3"/>
        <item t="default"/>
      </items>
    </pivotField>
    <pivotField dataField="1" showAll="0"/>
    <pivotField axis="axisPage" multipleItemSelectionAllowed="1" showAll="0">
      <items count="2">
        <item x="0"/>
        <item t="default"/>
      </items>
    </pivotField>
    <pivotField showAll="0"/>
    <pivotField numFmtId="164" showAll="0"/>
    <pivotField axis="axisPage" multipleItemSelectionAllowed="1" showAll="0">
      <items count="4">
        <item x="2"/>
        <item h="1" x="1"/>
        <item h="1" x="0"/>
        <item t="default"/>
      </items>
    </pivotField>
  </pivotFields>
  <rowItems count="1">
    <i/>
  </rowItems>
  <colFields count="1">
    <field x="-2"/>
  </colFields>
  <colItems count="2">
    <i>
      <x/>
    </i>
    <i i="1">
      <x v="1"/>
    </i>
  </colItems>
  <pageFields count="2">
    <pageField fld="11" hier="-1"/>
    <pageField fld="8" hier="-1"/>
  </pageFields>
  <dataFields count="2">
    <dataField name="Sum of Sales Volume" fld="7" baseField="0" baseItem="0"/>
    <dataField name="Average of Base Price (USD)" fld="5" subtotal="average"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61A5732-40B0-4F51-98DE-73550B01C2E1}" sourceName="Model">
  <pivotTables>
    <pivotTable tabId="3" name="Model Distribution"/>
    <pivotTable tabId="3" name="Most Popular Color"/>
    <pivotTable tabId="3" name="Average of Base Price (USD)"/>
    <pivotTable tabId="3" name="Average of Horsepower"/>
    <pivotTable tabId="3" name="Count of Model"/>
    <pivotTable tabId="3" name="Fuel Type Analysis"/>
    <pivotTable tabId="3" name="Price Distribution"/>
    <pivotTable tabId="3" name="Regional Sales Analysis"/>
    <pivotTable tabId="3" name="Sum of Revenue"/>
    <pivotTable tabId="3" name="Sum of Sales Volume"/>
    <pivotTable tabId="3" name="Yearly Sales Trend"/>
    <pivotTable tabId="3" name="Revenue by Region"/>
  </pivotTables>
  <data>
    <tabular pivotCacheId="574539399">
      <items count="6">
        <i x="2" s="1"/>
        <i x="1" s="1"/>
        <i x="5"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98F027E-1913-43E4-9D6A-58EFD501A1BC}" sourceName="Year">
  <pivotTables>
    <pivotTable tabId="3" name="Model Distribution"/>
    <pivotTable tabId="3" name="Best Selling Model"/>
    <pivotTable tabId="3" name="Average of Base Price (USD)"/>
    <pivotTable tabId="3" name="Average of Horsepower"/>
    <pivotTable tabId="3" name="Count of Model"/>
    <pivotTable tabId="3" name="Fuel Type Analysis"/>
    <pivotTable tabId="3" name="Highest Revenue Region"/>
    <pivotTable tabId="3" name="Most Popular Color"/>
    <pivotTable tabId="3" name="Most Popular Fuel Type"/>
    <pivotTable tabId="3" name="Price Distribution"/>
    <pivotTable tabId="3" name="Regional Sales Analysis"/>
    <pivotTable tabId="3" name="Sum of Revenue"/>
    <pivotTable tabId="3" name="Sum of Sales Volume"/>
    <pivotTable tabId="3" name="Yearly Sales Trend"/>
    <pivotTable tabId="3" name="Revenue by Region"/>
  </pivotTables>
  <data>
    <tabular pivotCacheId="574539399">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D4817B-9DA0-441F-8A6C-A87647C31008}" sourceName="Region">
  <pivotTables>
    <pivotTable tabId="3" name="Model Distribution"/>
    <pivotTable tabId="3" name="Regional Sales Analysis"/>
    <pivotTable tabId="3" name="Best Selling Model"/>
    <pivotTable tabId="3" name="Average of Base Price (USD)"/>
    <pivotTable tabId="3" name="Average of Horsepower"/>
    <pivotTable tabId="3" name="Count of Model"/>
    <pivotTable tabId="3" name="Fuel Type Analysis"/>
    <pivotTable tabId="3" name="Most Popular Color"/>
    <pivotTable tabId="3" name="Most Popular Fuel Type"/>
    <pivotTable tabId="3" name="Price Distribution"/>
    <pivotTable tabId="3" name="Sum of Revenue"/>
    <pivotTable tabId="3" name="Sum of Sales Volume"/>
    <pivotTable tabId="3" name="Yearly Sales Trend"/>
    <pivotTable tabId="3" name="Revenue by Region"/>
  </pivotTables>
  <data>
    <tabular pivotCacheId="57453939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E551446F-1932-44FA-A292-63A1285D2D28}" sourceName="Fuel Type">
  <pivotTables>
    <pivotTable tabId="3" name="Model Distribution"/>
    <pivotTable tabId="3" name="Best Selling Model"/>
    <pivotTable tabId="3" name="Average of Base Price (USD)"/>
    <pivotTable tabId="3" name="Average of Horsepower"/>
    <pivotTable tabId="3" name="Count of Model"/>
    <pivotTable tabId="3" name="Fuel Type Analysis"/>
    <pivotTable tabId="3" name="Highest Revenue Region"/>
    <pivotTable tabId="3" name="Most Popular Color"/>
    <pivotTable tabId="3" name="Price Distribution"/>
    <pivotTable tabId="3" name="Regional Sales Analysis"/>
    <pivotTable tabId="3" name="Sum of Revenue"/>
    <pivotTable tabId="3" name="Sum of Sales Volume"/>
    <pivotTable tabId="3" name="Yearly Sales Trend"/>
    <pivotTable tabId="3" name="Revenue by Region"/>
  </pivotTables>
  <data>
    <tabular pivotCacheId="57453939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Distribution" xr10:uid="{2827FD82-7F72-4E1E-B5A2-512E1CA2C0DA}" sourceName="Price Distribution">
  <pivotTables>
    <pivotTable tabId="3" name="Model Distribution"/>
    <pivotTable tabId="3" name="Best Selling Model"/>
    <pivotTable tabId="3" name="Average of Base Price (USD)"/>
    <pivotTable tabId="3" name="Average of Horsepower"/>
    <pivotTable tabId="3" name="Count of Model"/>
    <pivotTable tabId="3" name="Fuel Type Analysis"/>
    <pivotTable tabId="3" name="Highest Revenue Region"/>
    <pivotTable tabId="3" name="Most Popular Color"/>
    <pivotTable tabId="3" name="Most Popular Fuel Type"/>
    <pivotTable tabId="3" name="Price Distribution"/>
    <pivotTable tabId="3" name="Regional Sales Analysis"/>
    <pivotTable tabId="3" name="Revenue by Region"/>
    <pivotTable tabId="3" name="Sum of Revenue"/>
    <pivotTable tabId="3" name="Sum of Sales Volume"/>
    <pivotTable tabId="3" name="Yearly Sales Trend"/>
  </pivotTables>
  <data>
    <tabular pivotCacheId="57453939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2779BE65-5101-4B9D-815C-BA139B3FDFE0}" cache="Slicer_Model" caption="Model" columnCount="2" style="SlicerStyleOther2" rowHeight="182880"/>
  <slicer name="Year" xr10:uid="{4C06E4E9-06B9-425A-827B-6326A5E6696F}" cache="Slicer_Year" caption="Year" columnCount="3" style="SlicerStyleOther2" rowHeight="182880"/>
  <slicer name="Region" xr10:uid="{1B753F66-817A-4AC7-B143-FDC55988FA58}" cache="Slicer_Region" caption="Region" columnCount="2" style="SlicerStyleOther2" rowHeight="182880"/>
  <slicer name="Fuel Type" xr10:uid="{EF3A3467-E861-491B-ACC6-8075F5200899}" cache="Slicer_Fuel_Type" caption="Fuel Type" columnCount="2" style="SlicerStyleOther2" rowHeight="182880"/>
  <slicer name="Price Distribution" xr10:uid="{DC3FE897-FA0F-4FB7-AA2B-6AF16777BDC0}" cache="Slicer_Price_Distribution" caption="Price Distribution" columnCount="2" style="SlicerStyleOther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94FA21-66CB-4EAA-B61E-0315264CB233}" name="Table1" displayName="Table1" ref="A1:L55" totalsRowShown="0">
  <autoFilter ref="A1:L55" xr:uid="{C994FA21-66CB-4EAA-B61E-0315264CB233}"/>
  <tableColumns count="12">
    <tableColumn id="1" xr3:uid="{40B5CE12-2960-4123-B407-97D1B6DE2B9F}" name="Model"/>
    <tableColumn id="2" xr3:uid="{D5DC1690-8676-464B-9621-7BB78B63F147}" name="Year"/>
    <tableColumn id="3" xr3:uid="{AFAC5AB8-18DE-499D-8A79-560EF7693221}" name="Region"/>
    <tableColumn id="4" xr3:uid="{885C3E37-206A-440D-860E-BE26A160D77F}" name="Color"/>
    <tableColumn id="5" xr3:uid="{43B03C7B-80E4-49D2-B07F-7238FA306613}" name="Fuel Type"/>
    <tableColumn id="6" xr3:uid="{EBE8A15B-D074-4D4E-A895-545F5341BFCC}" name="Base Price (USD)" dataDxfId="53"/>
    <tableColumn id="7" xr3:uid="{7461AC77-4A05-469F-B0F5-84FF336236C2}" name="Horsepower"/>
    <tableColumn id="8" xr3:uid="{F9748CCC-3D95-4B33-8123-2409F34D8798}" name="Sales Volume"/>
    <tableColumn id="9" xr3:uid="{53A3C026-2B33-491C-B4F8-00D9CF354909}" name="Turbo (Yes/No)"/>
    <tableColumn id="10" xr3:uid="{9E9AB9B8-0FBE-4F94-8671-75299B0CF4CC}" name="Price Distribution" dataDxfId="52">
      <calculatedColumnFormula array="1">_xlfn.IFS(
F2&gt;520000,"High Price",
F2&gt;=350000,"Medium Price",
F2&lt;349000,"Low Price")</calculatedColumnFormula>
    </tableColumn>
    <tableColumn id="11" xr3:uid="{3F969A04-5B97-4A23-8E16-BAE8914131B1}" name="Revenue" dataDxfId="51">
      <calculatedColumnFormula>Table1[[#This Row],[Base Price (USD)]]*Table1[[#This Row],[Sales Volume]]</calculatedColumnFormula>
    </tableColumn>
    <tableColumn id="12" xr3:uid="{C8F1712B-CBA0-4FBD-8338-23BBBA3F42FF}" name="HP Range" dataDxfId="50">
      <calculatedColumnFormula array="1">_xlfn.IFS(
G2&gt;=900,"High HP",
G2&gt;=750,"Medium HP",
G2&lt;750,"Low HP")</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1665D-3E05-4145-A664-98F55DF66897}">
  <dimension ref="A1:Q152"/>
  <sheetViews>
    <sheetView topLeftCell="A72" zoomScale="70" zoomScaleNormal="70" workbookViewId="0">
      <selection activeCell="J93" sqref="J93"/>
    </sheetView>
  </sheetViews>
  <sheetFormatPr defaultRowHeight="15" x14ac:dyDescent="0.25"/>
  <cols>
    <col min="1" max="1" width="17.85546875" bestFit="1" customWidth="1"/>
    <col min="2" max="2" width="25.85546875" bestFit="1" customWidth="1"/>
    <col min="3" max="3" width="34.85546875" bestFit="1" customWidth="1"/>
    <col min="4" max="4" width="20.28515625" bestFit="1" customWidth="1"/>
    <col min="5" max="5" width="25.85546875" bestFit="1" customWidth="1"/>
    <col min="6" max="6" width="17.85546875" bestFit="1" customWidth="1"/>
    <col min="7" max="8" width="25.85546875" bestFit="1" customWidth="1"/>
    <col min="9" max="9" width="21.5703125" bestFit="1" customWidth="1"/>
    <col min="10" max="10" width="17.85546875" bestFit="1" customWidth="1"/>
    <col min="11" max="11" width="25.85546875" bestFit="1" customWidth="1"/>
    <col min="12" max="12" width="34.85546875" bestFit="1" customWidth="1"/>
    <col min="13" max="13" width="15" customWidth="1"/>
    <col min="14" max="14" width="14.5703125" customWidth="1"/>
    <col min="15" max="15" width="19" customWidth="1"/>
    <col min="16" max="16" width="17.85546875" bestFit="1" customWidth="1"/>
    <col min="17" max="17" width="21.140625" bestFit="1" customWidth="1"/>
    <col min="18" max="18" width="28.5703125" bestFit="1" customWidth="1"/>
    <col min="19" max="55" width="5" bestFit="1" customWidth="1"/>
    <col min="56" max="56" width="11.28515625" bestFit="1" customWidth="1"/>
  </cols>
  <sheetData>
    <row r="1" spans="1:11" ht="24" x14ac:dyDescent="0.25">
      <c r="A1" s="2" t="s">
        <v>31</v>
      </c>
    </row>
    <row r="2" spans="1:11" ht="18" x14ac:dyDescent="0.25">
      <c r="A2" s="3" t="s">
        <v>32</v>
      </c>
      <c r="H2" s="4"/>
    </row>
    <row r="3" spans="1:11" x14ac:dyDescent="0.25">
      <c r="A3" t="s">
        <v>137</v>
      </c>
      <c r="B3" t="s">
        <v>140</v>
      </c>
      <c r="C3" t="s">
        <v>139</v>
      </c>
      <c r="D3" t="s">
        <v>149</v>
      </c>
      <c r="E3" t="s">
        <v>161</v>
      </c>
      <c r="H3" s="4"/>
    </row>
    <row r="4" spans="1:11" x14ac:dyDescent="0.25">
      <c r="A4" s="18">
        <v>54</v>
      </c>
      <c r="B4" s="18">
        <v>141374</v>
      </c>
      <c r="C4" s="6">
        <v>374722.22222222225</v>
      </c>
      <c r="D4" s="6">
        <v>43189580000</v>
      </c>
      <c r="E4" s="18">
        <v>718.27777777777783</v>
      </c>
      <c r="H4" s="4"/>
    </row>
    <row r="5" spans="1:11" x14ac:dyDescent="0.25">
      <c r="H5" s="4"/>
    </row>
    <row r="6" spans="1:11" x14ac:dyDescent="0.25">
      <c r="H6" s="4"/>
    </row>
    <row r="7" spans="1:11" ht="24" x14ac:dyDescent="0.25">
      <c r="A7" s="2" t="s">
        <v>46</v>
      </c>
      <c r="H7" s="4"/>
    </row>
    <row r="8" spans="1:11" ht="18" x14ac:dyDescent="0.25">
      <c r="A8" s="3" t="s">
        <v>47</v>
      </c>
      <c r="F8" s="3" t="s">
        <v>51</v>
      </c>
      <c r="H8" s="4"/>
      <c r="J8" s="3" t="s">
        <v>55</v>
      </c>
    </row>
    <row r="9" spans="1:11" x14ac:dyDescent="0.25">
      <c r="A9" s="7" t="s">
        <v>141</v>
      </c>
      <c r="B9" t="s">
        <v>140</v>
      </c>
      <c r="F9" s="7" t="s">
        <v>141</v>
      </c>
      <c r="G9" t="s">
        <v>140</v>
      </c>
      <c r="J9" s="7" t="s">
        <v>141</v>
      </c>
      <c r="K9" t="s">
        <v>140</v>
      </c>
    </row>
    <row r="10" spans="1:11" x14ac:dyDescent="0.25">
      <c r="A10" s="8" t="s">
        <v>21</v>
      </c>
      <c r="B10" s="18">
        <v>5970</v>
      </c>
      <c r="C10" t="str">
        <f>_xlfn.XLOOKUP(MAX(B10:B15),B10:B15,A10:A15)</f>
        <v>Urus</v>
      </c>
      <c r="F10" s="8" t="s">
        <v>14</v>
      </c>
      <c r="G10" s="18">
        <v>55663</v>
      </c>
      <c r="J10" s="8">
        <v>2020</v>
      </c>
      <c r="K10" s="18">
        <v>20250</v>
      </c>
    </row>
    <row r="11" spans="1:11" x14ac:dyDescent="0.25">
      <c r="A11" s="8" t="s">
        <v>18</v>
      </c>
      <c r="B11" s="18">
        <v>41481</v>
      </c>
      <c r="F11" s="8" t="s">
        <v>16</v>
      </c>
      <c r="G11" s="18">
        <v>32043</v>
      </c>
      <c r="J11" s="8">
        <v>2021</v>
      </c>
      <c r="K11" s="18">
        <v>21925</v>
      </c>
    </row>
    <row r="12" spans="1:11" x14ac:dyDescent="0.25">
      <c r="A12" s="8" t="s">
        <v>28</v>
      </c>
      <c r="B12" s="18">
        <v>3850</v>
      </c>
      <c r="F12" s="8" t="s">
        <v>10</v>
      </c>
      <c r="G12" s="18">
        <v>53668</v>
      </c>
      <c r="J12" s="8">
        <v>2022</v>
      </c>
      <c r="K12" s="18">
        <v>24243</v>
      </c>
    </row>
    <row r="13" spans="1:11" x14ac:dyDescent="0.25">
      <c r="A13" s="8" t="s">
        <v>23</v>
      </c>
      <c r="B13" s="18">
        <v>8956</v>
      </c>
      <c r="F13" s="8" t="s">
        <v>142</v>
      </c>
      <c r="G13" s="18">
        <v>141374</v>
      </c>
      <c r="J13" s="8">
        <v>2023</v>
      </c>
      <c r="K13" s="18">
        <v>25838</v>
      </c>
    </row>
    <row r="14" spans="1:11" x14ac:dyDescent="0.25">
      <c r="A14" s="8" t="s">
        <v>9</v>
      </c>
      <c r="B14" s="18">
        <v>54305</v>
      </c>
      <c r="J14" s="8">
        <v>2024</v>
      </c>
      <c r="K14" s="18">
        <v>27918</v>
      </c>
    </row>
    <row r="15" spans="1:11" x14ac:dyDescent="0.25">
      <c r="A15" s="8" t="s">
        <v>27</v>
      </c>
      <c r="B15" s="18">
        <v>26812</v>
      </c>
      <c r="J15" s="8">
        <v>2025</v>
      </c>
      <c r="K15" s="18">
        <v>21200</v>
      </c>
    </row>
    <row r="16" spans="1:11" x14ac:dyDescent="0.25">
      <c r="A16" s="8" t="s">
        <v>142</v>
      </c>
      <c r="B16" s="18">
        <v>141374</v>
      </c>
      <c r="J16" s="8" t="s">
        <v>142</v>
      </c>
      <c r="K16" s="9">
        <v>141374</v>
      </c>
    </row>
    <row r="35" spans="1:17" ht="24" x14ac:dyDescent="0.25">
      <c r="A35" s="2" t="s">
        <v>59</v>
      </c>
    </row>
    <row r="36" spans="1:17" ht="18" x14ac:dyDescent="0.25">
      <c r="A36" s="3" t="s">
        <v>60</v>
      </c>
      <c r="E36" s="3" t="s">
        <v>69</v>
      </c>
      <c r="I36" s="3" t="s">
        <v>72</v>
      </c>
    </row>
    <row r="37" spans="1:17" x14ac:dyDescent="0.25">
      <c r="A37" s="7" t="s">
        <v>141</v>
      </c>
      <c r="B37" t="s">
        <v>138</v>
      </c>
      <c r="E37" s="7" t="s">
        <v>141</v>
      </c>
      <c r="F37" t="s">
        <v>139</v>
      </c>
      <c r="I37" s="4" t="s">
        <v>76</v>
      </c>
      <c r="P37" s="4" t="s">
        <v>77</v>
      </c>
    </row>
    <row r="38" spans="1:17" x14ac:dyDescent="0.25">
      <c r="A38" s="8" t="s">
        <v>145</v>
      </c>
      <c r="B38" s="6">
        <v>8520000</v>
      </c>
      <c r="E38" s="8" t="s">
        <v>21</v>
      </c>
      <c r="F38" s="6">
        <v>570000</v>
      </c>
      <c r="I38" s="7" t="s">
        <v>141</v>
      </c>
      <c r="J38" t="s">
        <v>149</v>
      </c>
      <c r="P38" s="7" t="s">
        <v>141</v>
      </c>
      <c r="Q38" t="s">
        <v>149</v>
      </c>
    </row>
    <row r="39" spans="1:17" x14ac:dyDescent="0.25">
      <c r="A39" s="8" t="s">
        <v>147</v>
      </c>
      <c r="B39" s="6">
        <v>2685000</v>
      </c>
      <c r="E39" s="8" t="s">
        <v>18</v>
      </c>
      <c r="F39" s="6">
        <v>278000</v>
      </c>
      <c r="I39" s="8" t="s">
        <v>21</v>
      </c>
      <c r="J39" s="6">
        <v>3380955000</v>
      </c>
      <c r="P39" s="8" t="s">
        <v>14</v>
      </c>
      <c r="Q39" s="6">
        <v>17224970000</v>
      </c>
    </row>
    <row r="40" spans="1:17" x14ac:dyDescent="0.25">
      <c r="A40" s="8" t="s">
        <v>146</v>
      </c>
      <c r="B40" s="6">
        <v>9030000</v>
      </c>
      <c r="E40" s="8" t="s">
        <v>28</v>
      </c>
      <c r="F40" s="6">
        <v>385000</v>
      </c>
      <c r="I40" s="8" t="s">
        <v>18</v>
      </c>
      <c r="J40" s="6">
        <v>11602560000</v>
      </c>
      <c r="P40" s="8" t="s">
        <v>16</v>
      </c>
      <c r="Q40" s="6">
        <v>10002955000</v>
      </c>
    </row>
    <row r="41" spans="1:17" x14ac:dyDescent="0.25">
      <c r="A41" s="8" t="s">
        <v>142</v>
      </c>
      <c r="B41" s="6">
        <v>20235000</v>
      </c>
      <c r="E41" s="8" t="s">
        <v>23</v>
      </c>
      <c r="F41" s="6">
        <v>535000</v>
      </c>
      <c r="I41" s="8" t="s">
        <v>28</v>
      </c>
      <c r="J41" s="6">
        <v>1482750000</v>
      </c>
      <c r="P41" s="8" t="s">
        <v>10</v>
      </c>
      <c r="Q41" s="6">
        <v>15961655000</v>
      </c>
    </row>
    <row r="42" spans="1:17" x14ac:dyDescent="0.25">
      <c r="E42" s="8" t="s">
        <v>9</v>
      </c>
      <c r="F42" s="6">
        <v>243750</v>
      </c>
      <c r="I42" s="8" t="s">
        <v>23</v>
      </c>
      <c r="J42" s="6">
        <v>4827000000</v>
      </c>
      <c r="P42" s="8" t="s">
        <v>142</v>
      </c>
      <c r="Q42" s="6">
        <v>43189580000</v>
      </c>
    </row>
    <row r="43" spans="1:17" x14ac:dyDescent="0.25">
      <c r="E43" s="8" t="s">
        <v>27</v>
      </c>
      <c r="F43" s="6">
        <v>322500</v>
      </c>
      <c r="I43" s="8" t="s">
        <v>9</v>
      </c>
      <c r="J43" s="6">
        <v>13277465000</v>
      </c>
    </row>
    <row r="44" spans="1:17" x14ac:dyDescent="0.25">
      <c r="E44" s="8" t="s">
        <v>142</v>
      </c>
      <c r="F44" s="6">
        <v>374722.22222222225</v>
      </c>
      <c r="I44" s="8" t="s">
        <v>27</v>
      </c>
      <c r="J44" s="6">
        <v>8618850000</v>
      </c>
    </row>
    <row r="45" spans="1:17" x14ac:dyDescent="0.25">
      <c r="I45" s="8" t="s">
        <v>142</v>
      </c>
      <c r="J45" s="6">
        <v>43189580000</v>
      </c>
    </row>
    <row r="63" spans="1:9" ht="24" x14ac:dyDescent="0.25">
      <c r="A63" s="2" t="s">
        <v>79</v>
      </c>
    </row>
    <row r="64" spans="1:9" ht="18" x14ac:dyDescent="0.25">
      <c r="A64" s="3" t="s">
        <v>80</v>
      </c>
      <c r="E64" s="3" t="s">
        <v>88</v>
      </c>
      <c r="I64" s="3" t="s">
        <v>92</v>
      </c>
    </row>
    <row r="65" spans="1:10" x14ac:dyDescent="0.25">
      <c r="A65" s="7" t="s">
        <v>141</v>
      </c>
      <c r="B65" t="s">
        <v>154</v>
      </c>
      <c r="E65" s="7" t="s">
        <v>141</v>
      </c>
      <c r="F65" t="s">
        <v>140</v>
      </c>
      <c r="I65" s="7" t="s">
        <v>141</v>
      </c>
      <c r="J65" t="s">
        <v>139</v>
      </c>
    </row>
    <row r="66" spans="1:10" x14ac:dyDescent="0.25">
      <c r="A66" s="8" t="s">
        <v>151</v>
      </c>
      <c r="B66">
        <v>6006</v>
      </c>
      <c r="E66" s="8" t="s">
        <v>151</v>
      </c>
      <c r="F66">
        <v>8956</v>
      </c>
      <c r="I66" s="8" t="s">
        <v>151</v>
      </c>
      <c r="J66" s="6">
        <v>535000</v>
      </c>
    </row>
    <row r="67" spans="1:10" x14ac:dyDescent="0.25">
      <c r="A67" s="8" t="s">
        <v>153</v>
      </c>
      <c r="B67">
        <v>11778</v>
      </c>
      <c r="E67" s="8" t="s">
        <v>153</v>
      </c>
      <c r="F67">
        <v>9820</v>
      </c>
      <c r="I67" s="8" t="s">
        <v>153</v>
      </c>
      <c r="J67" s="6">
        <v>533000</v>
      </c>
    </row>
    <row r="68" spans="1:10" x14ac:dyDescent="0.25">
      <c r="A68" s="8" t="s">
        <v>152</v>
      </c>
      <c r="B68">
        <v>21003</v>
      </c>
      <c r="E68" s="8" t="s">
        <v>152</v>
      </c>
      <c r="F68">
        <v>122598</v>
      </c>
      <c r="I68" s="8" t="s">
        <v>152</v>
      </c>
      <c r="J68" s="6">
        <v>273636.36363636365</v>
      </c>
    </row>
    <row r="69" spans="1:10" x14ac:dyDescent="0.25">
      <c r="A69" s="8" t="s">
        <v>142</v>
      </c>
      <c r="B69">
        <v>38787</v>
      </c>
      <c r="E69" s="8" t="s">
        <v>142</v>
      </c>
      <c r="F69">
        <v>141374</v>
      </c>
      <c r="I69" s="8" t="s">
        <v>142</v>
      </c>
      <c r="J69" s="6">
        <v>374722.22222222225</v>
      </c>
    </row>
    <row r="87" spans="1:10" ht="24" x14ac:dyDescent="0.25">
      <c r="A87" s="2" t="s">
        <v>95</v>
      </c>
    </row>
    <row r="88" spans="1:10" x14ac:dyDescent="0.25">
      <c r="A88" s="7" t="s">
        <v>1</v>
      </c>
      <c r="B88" t="s">
        <v>162</v>
      </c>
    </row>
    <row r="89" spans="1:10" ht="18" x14ac:dyDescent="0.25">
      <c r="A89" s="3" t="s">
        <v>96</v>
      </c>
      <c r="E89" s="3" t="s">
        <v>99</v>
      </c>
    </row>
    <row r="90" spans="1:10" x14ac:dyDescent="0.25">
      <c r="A90" s="7" t="s">
        <v>141</v>
      </c>
      <c r="B90" t="s">
        <v>140</v>
      </c>
      <c r="E90" s="7" t="s">
        <v>141</v>
      </c>
      <c r="F90" t="s">
        <v>139</v>
      </c>
    </row>
    <row r="91" spans="1:10" x14ac:dyDescent="0.25">
      <c r="A91" s="8" t="s">
        <v>12</v>
      </c>
      <c r="B91" s="18">
        <v>101756</v>
      </c>
      <c r="E91" s="8" t="s">
        <v>12</v>
      </c>
      <c r="F91" s="6">
        <v>357307.69230769231</v>
      </c>
    </row>
    <row r="92" spans="1:10" x14ac:dyDescent="0.25">
      <c r="A92" s="8" t="s">
        <v>25</v>
      </c>
      <c r="B92" s="18">
        <v>39618</v>
      </c>
      <c r="E92" s="8" t="s">
        <v>25</v>
      </c>
      <c r="F92" s="6">
        <v>420000</v>
      </c>
    </row>
    <row r="93" spans="1:10" x14ac:dyDescent="0.25">
      <c r="A93" s="8" t="s">
        <v>142</v>
      </c>
      <c r="B93" s="18">
        <v>141374</v>
      </c>
      <c r="E93" s="8" t="s">
        <v>142</v>
      </c>
      <c r="F93" s="6">
        <v>374722.22222222225</v>
      </c>
    </row>
    <row r="94" spans="1:10" x14ac:dyDescent="0.25">
      <c r="J94" s="8"/>
    </row>
    <row r="95" spans="1:10" x14ac:dyDescent="0.25">
      <c r="J95" s="8"/>
    </row>
    <row r="96" spans="1:10" x14ac:dyDescent="0.25">
      <c r="J96" s="8"/>
    </row>
    <row r="114" spans="1:12" x14ac:dyDescent="0.25">
      <c r="K114" s="7" t="s">
        <v>150</v>
      </c>
      <c r="L114" t="s">
        <v>151</v>
      </c>
    </row>
    <row r="115" spans="1:12" ht="24" x14ac:dyDescent="0.25">
      <c r="A115" s="2" t="s">
        <v>102</v>
      </c>
      <c r="K115" s="7" t="s">
        <v>8</v>
      </c>
      <c r="L115" t="s">
        <v>13</v>
      </c>
    </row>
    <row r="116" spans="1:12" ht="18" x14ac:dyDescent="0.25">
      <c r="A116" s="3" t="s">
        <v>155</v>
      </c>
      <c r="G116" s="3" t="s">
        <v>156</v>
      </c>
      <c r="K116" s="3" t="s">
        <v>157</v>
      </c>
    </row>
    <row r="117" spans="1:12" x14ac:dyDescent="0.25">
      <c r="A117" s="7" t="s">
        <v>140</v>
      </c>
      <c r="B117" s="7" t="s">
        <v>143</v>
      </c>
      <c r="G117" s="7" t="s">
        <v>141</v>
      </c>
      <c r="H117" t="s">
        <v>140</v>
      </c>
      <c r="K117" t="s">
        <v>140</v>
      </c>
      <c r="L117" t="s">
        <v>139</v>
      </c>
    </row>
    <row r="118" spans="1:12" x14ac:dyDescent="0.25">
      <c r="A118" s="7" t="s">
        <v>141</v>
      </c>
      <c r="B118" t="s">
        <v>14</v>
      </c>
      <c r="C118" t="s">
        <v>16</v>
      </c>
      <c r="D118" t="s">
        <v>10</v>
      </c>
      <c r="E118" t="s">
        <v>142</v>
      </c>
      <c r="G118" s="8" t="s">
        <v>11</v>
      </c>
      <c r="H118" s="18">
        <v>44900</v>
      </c>
      <c r="K118">
        <v>8956</v>
      </c>
      <c r="L118" s="6">
        <v>535000</v>
      </c>
    </row>
    <row r="119" spans="1:12" x14ac:dyDescent="0.25">
      <c r="A119" s="8" t="s">
        <v>21</v>
      </c>
      <c r="B119">
        <v>2313</v>
      </c>
      <c r="C119">
        <v>1443</v>
      </c>
      <c r="D119">
        <v>2214</v>
      </c>
      <c r="E119">
        <v>5970</v>
      </c>
      <c r="G119" s="8" t="s">
        <v>24</v>
      </c>
      <c r="H119" s="18">
        <v>3206</v>
      </c>
    </row>
    <row r="120" spans="1:12" x14ac:dyDescent="0.25">
      <c r="A120" s="8" t="s">
        <v>18</v>
      </c>
      <c r="B120">
        <v>16300</v>
      </c>
      <c r="C120">
        <v>9420</v>
      </c>
      <c r="D120">
        <v>15761</v>
      </c>
      <c r="E120">
        <v>41481</v>
      </c>
      <c r="G120" s="8" t="s">
        <v>26</v>
      </c>
      <c r="H120" s="18">
        <v>900</v>
      </c>
    </row>
    <row r="121" spans="1:12" x14ac:dyDescent="0.25">
      <c r="A121" s="8" t="s">
        <v>28</v>
      </c>
      <c r="B121">
        <v>1400</v>
      </c>
      <c r="C121">
        <v>1150</v>
      </c>
      <c r="D121">
        <v>1300</v>
      </c>
      <c r="E121">
        <v>3850</v>
      </c>
      <c r="G121" s="8" t="s">
        <v>29</v>
      </c>
      <c r="H121" s="18">
        <v>1300</v>
      </c>
    </row>
    <row r="122" spans="1:12" x14ac:dyDescent="0.25">
      <c r="A122" s="8" t="s">
        <v>23</v>
      </c>
      <c r="B122">
        <v>3300</v>
      </c>
      <c r="C122">
        <v>2550</v>
      </c>
      <c r="D122">
        <v>3106</v>
      </c>
      <c r="E122">
        <v>8956</v>
      </c>
      <c r="G122" s="8" t="s">
        <v>20</v>
      </c>
      <c r="H122" s="18">
        <v>17700</v>
      </c>
    </row>
    <row r="123" spans="1:12" x14ac:dyDescent="0.25">
      <c r="A123" s="8" t="s">
        <v>9</v>
      </c>
      <c r="B123">
        <v>21750</v>
      </c>
      <c r="C123">
        <v>11580</v>
      </c>
      <c r="D123">
        <v>20975</v>
      </c>
      <c r="E123">
        <v>54305</v>
      </c>
      <c r="G123" s="8" t="s">
        <v>17</v>
      </c>
      <c r="H123" s="18">
        <v>15093</v>
      </c>
    </row>
    <row r="124" spans="1:12" x14ac:dyDescent="0.25">
      <c r="A124" s="8" t="s">
        <v>27</v>
      </c>
      <c r="B124">
        <v>10600</v>
      </c>
      <c r="C124">
        <v>5900</v>
      </c>
      <c r="D124">
        <v>10312</v>
      </c>
      <c r="E124">
        <v>26812</v>
      </c>
      <c r="G124" s="8" t="s">
        <v>22</v>
      </c>
      <c r="H124" s="18">
        <v>13571</v>
      </c>
    </row>
    <row r="125" spans="1:12" x14ac:dyDescent="0.25">
      <c r="A125" s="8" t="s">
        <v>142</v>
      </c>
      <c r="B125">
        <v>55663</v>
      </c>
      <c r="C125">
        <v>32043</v>
      </c>
      <c r="D125">
        <v>53668</v>
      </c>
      <c r="E125">
        <v>141374</v>
      </c>
      <c r="G125" s="8" t="s">
        <v>15</v>
      </c>
      <c r="H125" s="18">
        <v>28943</v>
      </c>
    </row>
    <row r="126" spans="1:12" x14ac:dyDescent="0.25">
      <c r="G126" s="8" t="s">
        <v>19</v>
      </c>
      <c r="H126" s="18">
        <v>15761</v>
      </c>
    </row>
    <row r="127" spans="1:12" x14ac:dyDescent="0.25">
      <c r="G127" s="8" t="s">
        <v>142</v>
      </c>
      <c r="H127" s="18">
        <v>141374</v>
      </c>
    </row>
    <row r="144" spans="1:8" x14ac:dyDescent="0.25">
      <c r="A144" s="7" t="s">
        <v>1</v>
      </c>
      <c r="B144" t="s">
        <v>162</v>
      </c>
      <c r="D144" s="7" t="s">
        <v>1</v>
      </c>
      <c r="E144" t="s">
        <v>162</v>
      </c>
      <c r="G144" s="7" t="s">
        <v>1</v>
      </c>
      <c r="H144" t="s">
        <v>162</v>
      </c>
    </row>
    <row r="145" spans="1:9" x14ac:dyDescent="0.25">
      <c r="A145" s="4" t="s">
        <v>125</v>
      </c>
      <c r="D145" s="4" t="s">
        <v>124</v>
      </c>
      <c r="G145" s="4" t="s">
        <v>123</v>
      </c>
    </row>
    <row r="146" spans="1:9" x14ac:dyDescent="0.25">
      <c r="A146" s="7" t="s">
        <v>141</v>
      </c>
      <c r="B146" t="s">
        <v>149</v>
      </c>
      <c r="D146" s="7" t="s">
        <v>141</v>
      </c>
      <c r="E146" t="s">
        <v>140</v>
      </c>
      <c r="G146" s="7" t="s">
        <v>141</v>
      </c>
      <c r="H146" t="s">
        <v>140</v>
      </c>
    </row>
    <row r="147" spans="1:9" x14ac:dyDescent="0.25">
      <c r="A147" s="8" t="s">
        <v>14</v>
      </c>
      <c r="B147" s="6">
        <v>17224970000</v>
      </c>
      <c r="D147" s="8" t="s">
        <v>12</v>
      </c>
      <c r="E147" s="18">
        <v>101756</v>
      </c>
      <c r="G147" s="8" t="s">
        <v>21</v>
      </c>
      <c r="H147" s="18">
        <v>5970</v>
      </c>
    </row>
    <row r="148" spans="1:9" x14ac:dyDescent="0.25">
      <c r="A148" s="8" t="s">
        <v>16</v>
      </c>
      <c r="B148" s="6">
        <v>10002955000</v>
      </c>
      <c r="C148" t="str">
        <f>_xlfn.XLOOKUP(MAX(B147:B149),B147:B149,A147:A149)</f>
        <v>Americas</v>
      </c>
      <c r="D148" s="8" t="s">
        <v>25</v>
      </c>
      <c r="E148" s="18">
        <v>39618</v>
      </c>
      <c r="F148" t="str">
        <f>_xlfn.XLOOKUP(MAX(E147:E148),E147:E148,D147:D148)</f>
        <v>Gasoline</v>
      </c>
      <c r="G148" s="8" t="s">
        <v>18</v>
      </c>
      <c r="H148" s="18">
        <v>41481</v>
      </c>
      <c r="I148" t="str">
        <f>_xlfn.XLOOKUP(MAX(H147:H152),H147:H152,G147:G152)</f>
        <v>Urus</v>
      </c>
    </row>
    <row r="149" spans="1:9" x14ac:dyDescent="0.25">
      <c r="A149" s="8" t="s">
        <v>10</v>
      </c>
      <c r="B149" s="6">
        <v>15961655000</v>
      </c>
      <c r="G149" s="8" t="s">
        <v>164</v>
      </c>
      <c r="H149" s="18">
        <v>3850</v>
      </c>
    </row>
    <row r="150" spans="1:9" x14ac:dyDescent="0.25">
      <c r="G150" s="8" t="s">
        <v>23</v>
      </c>
      <c r="H150" s="18">
        <v>8956</v>
      </c>
    </row>
    <row r="151" spans="1:9" x14ac:dyDescent="0.25">
      <c r="G151" s="8" t="s">
        <v>9</v>
      </c>
      <c r="H151" s="18">
        <v>54305</v>
      </c>
    </row>
    <row r="152" spans="1:9" x14ac:dyDescent="0.25">
      <c r="G152" s="8" t="s">
        <v>27</v>
      </c>
      <c r="H152" s="18">
        <v>26812</v>
      </c>
    </row>
  </sheetData>
  <pageMargins left="0.7" right="0.7" top="0.75" bottom="0.75" header="0.3" footer="0.3"/>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C5EC4-0EF5-4E3E-B673-A9C9B9572314}">
  <dimension ref="A1:N55"/>
  <sheetViews>
    <sheetView workbookViewId="0">
      <selection activeCell="N5" sqref="N5"/>
    </sheetView>
  </sheetViews>
  <sheetFormatPr defaultRowHeight="15" x14ac:dyDescent="0.25"/>
  <cols>
    <col min="1" max="1" width="20.42578125" bestFit="1" customWidth="1"/>
    <col min="2" max="2" width="7.28515625" bestFit="1" customWidth="1"/>
    <col min="3" max="3" width="9.5703125" bestFit="1" customWidth="1"/>
    <col min="5" max="5" width="11.7109375" customWidth="1"/>
    <col min="6" max="6" width="12" customWidth="1"/>
    <col min="7" max="7" width="10.85546875" customWidth="1"/>
    <col min="8" max="8" width="11.85546875" customWidth="1"/>
    <col min="9" max="9" width="5.42578125" customWidth="1"/>
    <col min="10" max="10" width="10.85546875" customWidth="1"/>
    <col min="11" max="11" width="13.85546875" bestFit="1" customWidth="1"/>
    <col min="14" max="14" width="12.140625" bestFit="1" customWidth="1"/>
  </cols>
  <sheetData>
    <row r="1" spans="1:14" x14ac:dyDescent="0.25">
      <c r="A1" t="s">
        <v>0</v>
      </c>
      <c r="B1" t="s">
        <v>1</v>
      </c>
      <c r="C1" t="s">
        <v>2</v>
      </c>
      <c r="D1" t="s">
        <v>3</v>
      </c>
      <c r="E1" t="s">
        <v>4</v>
      </c>
      <c r="F1" t="s">
        <v>5</v>
      </c>
      <c r="G1" t="s">
        <v>6</v>
      </c>
      <c r="H1" t="s">
        <v>7</v>
      </c>
      <c r="I1" t="s">
        <v>8</v>
      </c>
      <c r="J1" t="s">
        <v>144</v>
      </c>
      <c r="K1" t="s">
        <v>148</v>
      </c>
      <c r="L1" t="s">
        <v>150</v>
      </c>
    </row>
    <row r="2" spans="1:14" x14ac:dyDescent="0.25">
      <c r="A2" t="s">
        <v>9</v>
      </c>
      <c r="B2">
        <v>2020</v>
      </c>
      <c r="C2" t="s">
        <v>10</v>
      </c>
      <c r="D2" t="s">
        <v>11</v>
      </c>
      <c r="E2" t="s">
        <v>12</v>
      </c>
      <c r="F2" s="6">
        <v>230000</v>
      </c>
      <c r="G2">
        <v>641</v>
      </c>
      <c r="H2">
        <v>4500</v>
      </c>
      <c r="I2" t="s">
        <v>13</v>
      </c>
      <c r="J2" t="str" cm="1">
        <f t="array" ref="J2">_xlfn.IFS(
F2&gt;520000,"High Price",
F2&gt;=350000,"Medium Price",
F2&lt;349000,"Low Price")</f>
        <v>Low Price</v>
      </c>
      <c r="K2" s="6">
        <f>Table1[[#This Row],[Base Price (USD)]]*Table1[[#This Row],[Sales Volume]]</f>
        <v>1035000000</v>
      </c>
      <c r="L2" t="str" cm="1">
        <f t="array" ref="L2">_xlfn.IFS(
G2&gt;=900,"High HP",
G2&gt;=750,"Medium HP",
G2&lt;750,"Low HP")</f>
        <v>Low HP</v>
      </c>
      <c r="N2" s="6"/>
    </row>
    <row r="3" spans="1:14" x14ac:dyDescent="0.25">
      <c r="A3" t="s">
        <v>9</v>
      </c>
      <c r="B3">
        <v>2020</v>
      </c>
      <c r="C3" t="s">
        <v>14</v>
      </c>
      <c r="D3" t="s">
        <v>15</v>
      </c>
      <c r="E3" t="s">
        <v>12</v>
      </c>
      <c r="F3" s="6">
        <v>240000</v>
      </c>
      <c r="G3">
        <v>641</v>
      </c>
      <c r="H3">
        <v>4800</v>
      </c>
      <c r="I3" t="s">
        <v>13</v>
      </c>
      <c r="J3" t="str" cm="1">
        <f t="array" ref="J3">_xlfn.IFS(
F3&gt;520000,"High Price",
F3&gt;=350000,"Medium Price",
F3&lt;349000,"Low Price")</f>
        <v>Low Price</v>
      </c>
      <c r="K3" s="6">
        <f>Table1[[#This Row],[Base Price (USD)]]*Table1[[#This Row],[Sales Volume]]</f>
        <v>1152000000</v>
      </c>
      <c r="L3" t="str" cm="1">
        <f t="array" ref="L3">_xlfn.IFS(
G3&gt;=900,"High HP",
G3&gt;=750,"Medium HP",
G3&lt;750,"Low HP")</f>
        <v>Low HP</v>
      </c>
    </row>
    <row r="4" spans="1:14" x14ac:dyDescent="0.25">
      <c r="A4" t="s">
        <v>9</v>
      </c>
      <c r="B4">
        <v>2020</v>
      </c>
      <c r="C4" t="s">
        <v>16</v>
      </c>
      <c r="D4" t="s">
        <v>17</v>
      </c>
      <c r="E4" t="s">
        <v>12</v>
      </c>
      <c r="F4" s="6">
        <v>235000</v>
      </c>
      <c r="G4">
        <v>641</v>
      </c>
      <c r="H4">
        <v>2700</v>
      </c>
      <c r="I4" t="s">
        <v>13</v>
      </c>
      <c r="J4" t="str" cm="1">
        <f t="array" ref="J4">_xlfn.IFS(
F4&gt;520000,"High Price",
F4&gt;=350000,"Medium Price",
F4&lt;349000,"Low Price")</f>
        <v>Low Price</v>
      </c>
      <c r="K4" s="6">
        <f>Table1[[#This Row],[Base Price (USD)]]*Table1[[#This Row],[Sales Volume]]</f>
        <v>634500000</v>
      </c>
      <c r="L4" t="str" cm="1">
        <f t="array" ref="L4">_xlfn.IFS(
G4&gt;=900,"High HP",
G4&gt;=750,"Medium HP",
G4&lt;750,"Low HP")</f>
        <v>Low HP</v>
      </c>
    </row>
    <row r="5" spans="1:14" x14ac:dyDescent="0.25">
      <c r="A5" t="s">
        <v>18</v>
      </c>
      <c r="B5">
        <v>2020</v>
      </c>
      <c r="C5" t="s">
        <v>10</v>
      </c>
      <c r="D5" t="s">
        <v>19</v>
      </c>
      <c r="E5" t="s">
        <v>12</v>
      </c>
      <c r="F5" s="6">
        <v>260000</v>
      </c>
      <c r="G5">
        <v>631</v>
      </c>
      <c r="H5">
        <v>2500</v>
      </c>
      <c r="I5" t="s">
        <v>13</v>
      </c>
      <c r="J5" t="str" cm="1">
        <f t="array" ref="J5">_xlfn.IFS(
F5&gt;520000,"High Price",
F5&gt;=350000,"Medium Price",
F5&lt;349000,"Low Price")</f>
        <v>Low Price</v>
      </c>
      <c r="K5" s="6">
        <f>Table1[[#This Row],[Base Price (USD)]]*Table1[[#This Row],[Sales Volume]]</f>
        <v>650000000</v>
      </c>
      <c r="L5" t="str" cm="1">
        <f t="array" ref="L5">_xlfn.IFS(
G5&gt;=900,"High HP",
G5&gt;=750,"Medium HP",
G5&lt;750,"Low HP")</f>
        <v>Low HP</v>
      </c>
    </row>
    <row r="6" spans="1:14" x14ac:dyDescent="0.25">
      <c r="A6" t="s">
        <v>18</v>
      </c>
      <c r="B6">
        <v>2020</v>
      </c>
      <c r="C6" t="s">
        <v>14</v>
      </c>
      <c r="D6" t="s">
        <v>20</v>
      </c>
      <c r="E6" t="s">
        <v>12</v>
      </c>
      <c r="F6" s="6">
        <v>270000</v>
      </c>
      <c r="G6">
        <v>631</v>
      </c>
      <c r="H6">
        <v>2600</v>
      </c>
      <c r="I6" t="s">
        <v>13</v>
      </c>
      <c r="J6" t="str" cm="1">
        <f t="array" ref="J6">_xlfn.IFS(
F6&gt;520000,"High Price",
F6&gt;=350000,"Medium Price",
F6&lt;349000,"Low Price")</f>
        <v>Low Price</v>
      </c>
      <c r="K6" s="6">
        <f>Table1[[#This Row],[Base Price (USD)]]*Table1[[#This Row],[Sales Volume]]</f>
        <v>702000000</v>
      </c>
      <c r="L6" t="str" cm="1">
        <f t="array" ref="L6">_xlfn.IFS(
G6&gt;=900,"High HP",
G6&gt;=750,"Medium HP",
G6&lt;750,"Low HP")</f>
        <v>Low HP</v>
      </c>
    </row>
    <row r="7" spans="1:14" x14ac:dyDescent="0.25">
      <c r="A7" t="s">
        <v>18</v>
      </c>
      <c r="B7">
        <v>2020</v>
      </c>
      <c r="C7" t="s">
        <v>16</v>
      </c>
      <c r="D7" t="s">
        <v>11</v>
      </c>
      <c r="E7" t="s">
        <v>12</v>
      </c>
      <c r="F7" s="6">
        <v>265000</v>
      </c>
      <c r="G7">
        <v>631</v>
      </c>
      <c r="H7">
        <v>1500</v>
      </c>
      <c r="I7" t="s">
        <v>13</v>
      </c>
      <c r="J7" t="str" cm="1">
        <f t="array" ref="J7">_xlfn.IFS(
F7&gt;520000,"High Price",
F7&gt;=350000,"Medium Price",
F7&lt;349000,"Low Price")</f>
        <v>Low Price</v>
      </c>
      <c r="K7" s="6">
        <f>Table1[[#This Row],[Base Price (USD)]]*Table1[[#This Row],[Sales Volume]]</f>
        <v>397500000</v>
      </c>
      <c r="L7" t="str" cm="1">
        <f t="array" ref="L7">_xlfn.IFS(
G7&gt;=900,"High HP",
G7&gt;=750,"Medium HP",
G7&lt;750,"Low HP")</f>
        <v>Low HP</v>
      </c>
    </row>
    <row r="8" spans="1:14" x14ac:dyDescent="0.25">
      <c r="A8" t="s">
        <v>21</v>
      </c>
      <c r="B8">
        <v>2020</v>
      </c>
      <c r="C8" t="s">
        <v>10</v>
      </c>
      <c r="D8" t="s">
        <v>11</v>
      </c>
      <c r="E8" t="s">
        <v>12</v>
      </c>
      <c r="F8" s="6">
        <v>550000</v>
      </c>
      <c r="G8">
        <v>769</v>
      </c>
      <c r="H8">
        <v>600</v>
      </c>
      <c r="I8" t="s">
        <v>13</v>
      </c>
      <c r="J8" t="str" cm="1">
        <f t="array" ref="J8">_xlfn.IFS(
F8&gt;520000,"High Price",
F8&gt;=350000,"Medium Price",
F8&lt;349000,"Low Price")</f>
        <v>High Price</v>
      </c>
      <c r="K8" s="6">
        <f>Table1[[#This Row],[Base Price (USD)]]*Table1[[#This Row],[Sales Volume]]</f>
        <v>330000000</v>
      </c>
      <c r="L8" t="str" cm="1">
        <f t="array" ref="L8">_xlfn.IFS(
G8&gt;=900,"High HP",
G8&gt;=750,"Medium HP",
G8&lt;750,"Low HP")</f>
        <v>Medium HP</v>
      </c>
    </row>
    <row r="9" spans="1:14" x14ac:dyDescent="0.25">
      <c r="A9" t="s">
        <v>21</v>
      </c>
      <c r="B9">
        <v>2020</v>
      </c>
      <c r="C9" t="s">
        <v>14</v>
      </c>
      <c r="D9" t="s">
        <v>15</v>
      </c>
      <c r="E9" t="s">
        <v>12</v>
      </c>
      <c r="F9" s="6">
        <v>560000</v>
      </c>
      <c r="G9">
        <v>769</v>
      </c>
      <c r="H9">
        <v>650</v>
      </c>
      <c r="I9" t="s">
        <v>13</v>
      </c>
      <c r="J9" t="str" cm="1">
        <f t="array" ref="J9">_xlfn.IFS(
F9&gt;520000,"High Price",
F9&gt;=350000,"Medium Price",
F9&lt;349000,"Low Price")</f>
        <v>High Price</v>
      </c>
      <c r="K9" s="6">
        <f>Table1[[#This Row],[Base Price (USD)]]*Table1[[#This Row],[Sales Volume]]</f>
        <v>364000000</v>
      </c>
      <c r="L9" t="str" cm="1">
        <f t="array" ref="L9">_xlfn.IFS(
G9&gt;=900,"High HP",
G9&gt;=750,"Medium HP",
G9&lt;750,"Low HP")</f>
        <v>Medium HP</v>
      </c>
    </row>
    <row r="10" spans="1:14" x14ac:dyDescent="0.25">
      <c r="A10" t="s">
        <v>21</v>
      </c>
      <c r="B10">
        <v>2020</v>
      </c>
      <c r="C10" t="s">
        <v>16</v>
      </c>
      <c r="D10" t="s">
        <v>17</v>
      </c>
      <c r="E10" t="s">
        <v>12</v>
      </c>
      <c r="F10" s="6">
        <v>555000</v>
      </c>
      <c r="G10">
        <v>769</v>
      </c>
      <c r="H10">
        <v>400</v>
      </c>
      <c r="I10" t="s">
        <v>13</v>
      </c>
      <c r="J10" t="str" cm="1">
        <f t="array" ref="J10">_xlfn.IFS(
F10&gt;520000,"High Price",
F10&gt;=350000,"Medium Price",
F10&lt;349000,"Low Price")</f>
        <v>High Price</v>
      </c>
      <c r="K10" s="6">
        <f>Table1[[#This Row],[Base Price (USD)]]*Table1[[#This Row],[Sales Volume]]</f>
        <v>222000000</v>
      </c>
      <c r="L10" t="str" cm="1">
        <f t="array" ref="L10">_xlfn.IFS(
G10&gt;=900,"High HP",
G10&gt;=750,"Medium HP",
G10&lt;750,"Low HP")</f>
        <v>Medium HP</v>
      </c>
    </row>
    <row r="11" spans="1:14" x14ac:dyDescent="0.25">
      <c r="A11" t="s">
        <v>9</v>
      </c>
      <c r="B11">
        <v>2021</v>
      </c>
      <c r="C11" t="s">
        <v>10</v>
      </c>
      <c r="D11" t="s">
        <v>22</v>
      </c>
      <c r="E11" t="s">
        <v>12</v>
      </c>
      <c r="F11" s="6">
        <v>235000</v>
      </c>
      <c r="G11">
        <v>641</v>
      </c>
      <c r="H11">
        <v>5021</v>
      </c>
      <c r="I11" t="s">
        <v>13</v>
      </c>
      <c r="J11" t="str" cm="1">
        <f t="array" ref="J11">_xlfn.IFS(
F11&gt;520000,"High Price",
F11&gt;=350000,"Medium Price",
F11&lt;349000,"Low Price")</f>
        <v>Low Price</v>
      </c>
      <c r="K11" s="6">
        <f>Table1[[#This Row],[Base Price (USD)]]*Table1[[#This Row],[Sales Volume]]</f>
        <v>1179935000</v>
      </c>
      <c r="L11" t="str" cm="1">
        <f t="array" ref="L11">_xlfn.IFS(
G11&gt;=900,"High HP",
G11&gt;=750,"Medium HP",
G11&lt;750,"Low HP")</f>
        <v>Low HP</v>
      </c>
    </row>
    <row r="12" spans="1:14" x14ac:dyDescent="0.25">
      <c r="A12" t="s">
        <v>9</v>
      </c>
      <c r="B12">
        <v>2021</v>
      </c>
      <c r="C12" t="s">
        <v>14</v>
      </c>
      <c r="D12" t="s">
        <v>11</v>
      </c>
      <c r="E12" t="s">
        <v>12</v>
      </c>
      <c r="F12" s="6">
        <v>245000</v>
      </c>
      <c r="G12">
        <v>641</v>
      </c>
      <c r="H12">
        <v>5200</v>
      </c>
      <c r="I12" t="s">
        <v>13</v>
      </c>
      <c r="J12" t="str" cm="1">
        <f t="array" ref="J12">_xlfn.IFS(
F12&gt;520000,"High Price",
F12&gt;=350000,"Medium Price",
F12&lt;349000,"Low Price")</f>
        <v>Low Price</v>
      </c>
      <c r="K12" s="6">
        <f>Table1[[#This Row],[Base Price (USD)]]*Table1[[#This Row],[Sales Volume]]</f>
        <v>1274000000</v>
      </c>
      <c r="L12" t="str" cm="1">
        <f t="array" ref="L12">_xlfn.IFS(
G12&gt;=900,"High HP",
G12&gt;=750,"Medium HP",
G12&lt;750,"Low HP")</f>
        <v>Low HP</v>
      </c>
    </row>
    <row r="13" spans="1:14" x14ac:dyDescent="0.25">
      <c r="A13" t="s">
        <v>9</v>
      </c>
      <c r="B13">
        <v>2021</v>
      </c>
      <c r="C13" t="s">
        <v>16</v>
      </c>
      <c r="D13" t="s">
        <v>15</v>
      </c>
      <c r="E13" t="s">
        <v>12</v>
      </c>
      <c r="F13" s="6">
        <v>240000</v>
      </c>
      <c r="G13">
        <v>641</v>
      </c>
      <c r="H13">
        <v>2780</v>
      </c>
      <c r="I13" t="s">
        <v>13</v>
      </c>
      <c r="J13" t="str" cm="1">
        <f t="array" ref="J13">_xlfn.IFS(
F13&gt;520000,"High Price",
F13&gt;=350000,"Medium Price",
F13&lt;349000,"Low Price")</f>
        <v>Low Price</v>
      </c>
      <c r="K13" s="6">
        <f>Table1[[#This Row],[Base Price (USD)]]*Table1[[#This Row],[Sales Volume]]</f>
        <v>667200000</v>
      </c>
      <c r="L13" t="str" cm="1">
        <f t="array" ref="L13">_xlfn.IFS(
G13&gt;=900,"High HP",
G13&gt;=750,"Medium HP",
G13&lt;750,"Low HP")</f>
        <v>Low HP</v>
      </c>
    </row>
    <row r="14" spans="1:14" x14ac:dyDescent="0.25">
      <c r="A14" t="s">
        <v>18</v>
      </c>
      <c r="B14">
        <v>2021</v>
      </c>
      <c r="C14" t="s">
        <v>10</v>
      </c>
      <c r="D14" t="s">
        <v>19</v>
      </c>
      <c r="E14" t="s">
        <v>12</v>
      </c>
      <c r="F14" s="6">
        <v>265000</v>
      </c>
      <c r="G14">
        <v>631</v>
      </c>
      <c r="H14">
        <v>2586</v>
      </c>
      <c r="I14" t="s">
        <v>13</v>
      </c>
      <c r="J14" t="str" cm="1">
        <f t="array" ref="J14">_xlfn.IFS(
F14&gt;520000,"High Price",
F14&gt;=350000,"Medium Price",
F14&lt;349000,"Low Price")</f>
        <v>Low Price</v>
      </c>
      <c r="K14" s="6">
        <f>Table1[[#This Row],[Base Price (USD)]]*Table1[[#This Row],[Sales Volume]]</f>
        <v>685290000</v>
      </c>
      <c r="L14" t="str" cm="1">
        <f t="array" ref="L14">_xlfn.IFS(
G14&gt;=900,"High HP",
G14&gt;=750,"Medium HP",
G14&lt;750,"Low HP")</f>
        <v>Low HP</v>
      </c>
    </row>
    <row r="15" spans="1:14" x14ac:dyDescent="0.25">
      <c r="A15" t="s">
        <v>18</v>
      </c>
      <c r="B15">
        <v>2021</v>
      </c>
      <c r="C15" t="s">
        <v>14</v>
      </c>
      <c r="D15" t="s">
        <v>20</v>
      </c>
      <c r="E15" t="s">
        <v>12</v>
      </c>
      <c r="F15" s="6">
        <v>275000</v>
      </c>
      <c r="G15">
        <v>631</v>
      </c>
      <c r="H15">
        <v>2700</v>
      </c>
      <c r="I15" t="s">
        <v>13</v>
      </c>
      <c r="J15" t="str" cm="1">
        <f t="array" ref="J15">_xlfn.IFS(
F15&gt;520000,"High Price",
F15&gt;=350000,"Medium Price",
F15&lt;349000,"Low Price")</f>
        <v>Low Price</v>
      </c>
      <c r="K15" s="6">
        <f>Table1[[#This Row],[Base Price (USD)]]*Table1[[#This Row],[Sales Volume]]</f>
        <v>742500000</v>
      </c>
      <c r="L15" t="str" cm="1">
        <f t="array" ref="L15">_xlfn.IFS(
G15&gt;=900,"High HP",
G15&gt;=750,"Medium HP",
G15&lt;750,"Low HP")</f>
        <v>Low HP</v>
      </c>
    </row>
    <row r="16" spans="1:14" x14ac:dyDescent="0.25">
      <c r="A16" t="s">
        <v>18</v>
      </c>
      <c r="B16">
        <v>2021</v>
      </c>
      <c r="C16" t="s">
        <v>16</v>
      </c>
      <c r="D16" t="s">
        <v>11</v>
      </c>
      <c r="E16" t="s">
        <v>12</v>
      </c>
      <c r="F16" s="6">
        <v>270000</v>
      </c>
      <c r="G16">
        <v>631</v>
      </c>
      <c r="H16">
        <v>1520</v>
      </c>
      <c r="I16" t="s">
        <v>13</v>
      </c>
      <c r="J16" t="str" cm="1">
        <f t="array" ref="J16">_xlfn.IFS(
F16&gt;520000,"High Price",
F16&gt;=350000,"Medium Price",
F16&lt;349000,"Low Price")</f>
        <v>Low Price</v>
      </c>
      <c r="K16" s="6">
        <f>Table1[[#This Row],[Base Price (USD)]]*Table1[[#This Row],[Sales Volume]]</f>
        <v>410400000</v>
      </c>
      <c r="L16" t="str" cm="1">
        <f t="array" ref="L16">_xlfn.IFS(
G16&gt;=900,"High HP",
G16&gt;=750,"Medium HP",
G16&lt;750,"Low HP")</f>
        <v>Low HP</v>
      </c>
    </row>
    <row r="17" spans="1:12" x14ac:dyDescent="0.25">
      <c r="A17" t="s">
        <v>21</v>
      </c>
      <c r="B17">
        <v>2021</v>
      </c>
      <c r="C17" t="s">
        <v>10</v>
      </c>
      <c r="D17" t="s">
        <v>11</v>
      </c>
      <c r="E17" t="s">
        <v>12</v>
      </c>
      <c r="F17" s="6">
        <v>560000</v>
      </c>
      <c r="G17">
        <v>769</v>
      </c>
      <c r="H17">
        <v>798</v>
      </c>
      <c r="I17" t="s">
        <v>13</v>
      </c>
      <c r="J17" t="str" cm="1">
        <f t="array" ref="J17">_xlfn.IFS(
F17&gt;520000,"High Price",
F17&gt;=350000,"Medium Price",
F17&lt;349000,"Low Price")</f>
        <v>High Price</v>
      </c>
      <c r="K17" s="6">
        <f>Table1[[#This Row],[Base Price (USD)]]*Table1[[#This Row],[Sales Volume]]</f>
        <v>446880000</v>
      </c>
      <c r="L17" t="str" cm="1">
        <f t="array" ref="L17">_xlfn.IFS(
G17&gt;=900,"High HP",
G17&gt;=750,"Medium HP",
G17&lt;750,"Low HP")</f>
        <v>Medium HP</v>
      </c>
    </row>
    <row r="18" spans="1:12" x14ac:dyDescent="0.25">
      <c r="A18" t="s">
        <v>21</v>
      </c>
      <c r="B18">
        <v>2021</v>
      </c>
      <c r="C18" t="s">
        <v>14</v>
      </c>
      <c r="D18" t="s">
        <v>15</v>
      </c>
      <c r="E18" t="s">
        <v>12</v>
      </c>
      <c r="F18" s="6">
        <v>570000</v>
      </c>
      <c r="G18">
        <v>769</v>
      </c>
      <c r="H18">
        <v>820</v>
      </c>
      <c r="I18" t="s">
        <v>13</v>
      </c>
      <c r="J18" t="str" cm="1">
        <f t="array" ref="J18">_xlfn.IFS(
F18&gt;520000,"High Price",
F18&gt;=350000,"Medium Price",
F18&lt;349000,"Low Price")</f>
        <v>High Price</v>
      </c>
      <c r="K18" s="6">
        <f>Table1[[#This Row],[Base Price (USD)]]*Table1[[#This Row],[Sales Volume]]</f>
        <v>467400000</v>
      </c>
      <c r="L18" t="str" cm="1">
        <f t="array" ref="L18">_xlfn.IFS(
G18&gt;=900,"High HP",
G18&gt;=750,"Medium HP",
G18&lt;750,"Low HP")</f>
        <v>Medium HP</v>
      </c>
    </row>
    <row r="19" spans="1:12" x14ac:dyDescent="0.25">
      <c r="A19" t="s">
        <v>21</v>
      </c>
      <c r="B19">
        <v>2021</v>
      </c>
      <c r="C19" t="s">
        <v>16</v>
      </c>
      <c r="D19" t="s">
        <v>17</v>
      </c>
      <c r="E19" t="s">
        <v>12</v>
      </c>
      <c r="F19" s="6">
        <v>565000</v>
      </c>
      <c r="G19">
        <v>769</v>
      </c>
      <c r="H19">
        <v>500</v>
      </c>
      <c r="I19" t="s">
        <v>13</v>
      </c>
      <c r="J19" t="str" cm="1">
        <f t="array" ref="J19">_xlfn.IFS(
F19&gt;520000,"High Price",
F19&gt;=350000,"Medium Price",
F19&lt;349000,"Low Price")</f>
        <v>High Price</v>
      </c>
      <c r="K19" s="6">
        <f>Table1[[#This Row],[Base Price (USD)]]*Table1[[#This Row],[Sales Volume]]</f>
        <v>282500000</v>
      </c>
      <c r="L19" t="str" cm="1">
        <f t="array" ref="L19">_xlfn.IFS(
G19&gt;=900,"High HP",
G19&gt;=750,"Medium HP",
G19&lt;750,"Low HP")</f>
        <v>Medium HP</v>
      </c>
    </row>
    <row r="20" spans="1:12" x14ac:dyDescent="0.25">
      <c r="A20" t="s">
        <v>9</v>
      </c>
      <c r="B20">
        <v>2022</v>
      </c>
      <c r="C20" t="s">
        <v>10</v>
      </c>
      <c r="D20" t="s">
        <v>11</v>
      </c>
      <c r="E20" t="s">
        <v>12</v>
      </c>
      <c r="F20" s="6">
        <v>240000</v>
      </c>
      <c r="G20">
        <v>641</v>
      </c>
      <c r="H20">
        <v>5367</v>
      </c>
      <c r="I20" t="s">
        <v>13</v>
      </c>
      <c r="J20" t="str" cm="1">
        <f t="array" ref="J20">_xlfn.IFS(
F20&gt;520000,"High Price",
F20&gt;=350000,"Medium Price",
F20&lt;349000,"Low Price")</f>
        <v>Low Price</v>
      </c>
      <c r="K20" s="6">
        <f>Table1[[#This Row],[Base Price (USD)]]*Table1[[#This Row],[Sales Volume]]</f>
        <v>1288080000</v>
      </c>
      <c r="L20" t="str" cm="1">
        <f t="array" ref="L20">_xlfn.IFS(
G20&gt;=900,"High HP",
G20&gt;=750,"Medium HP",
G20&lt;750,"Low HP")</f>
        <v>Low HP</v>
      </c>
    </row>
    <row r="21" spans="1:12" x14ac:dyDescent="0.25">
      <c r="A21" t="s">
        <v>9</v>
      </c>
      <c r="B21">
        <v>2022</v>
      </c>
      <c r="C21" t="s">
        <v>14</v>
      </c>
      <c r="D21" t="s">
        <v>15</v>
      </c>
      <c r="E21" t="s">
        <v>12</v>
      </c>
      <c r="F21" s="6">
        <v>250000</v>
      </c>
      <c r="G21">
        <v>641</v>
      </c>
      <c r="H21">
        <v>5550</v>
      </c>
      <c r="I21" t="s">
        <v>13</v>
      </c>
      <c r="J21" t="str" cm="1">
        <f t="array" ref="J21">_xlfn.IFS(
F21&gt;520000,"High Price",
F21&gt;=350000,"Medium Price",
F21&lt;349000,"Low Price")</f>
        <v>Low Price</v>
      </c>
      <c r="K21" s="6">
        <f>Table1[[#This Row],[Base Price (USD)]]*Table1[[#This Row],[Sales Volume]]</f>
        <v>1387500000</v>
      </c>
      <c r="L21" t="str" cm="1">
        <f t="array" ref="L21">_xlfn.IFS(
G21&gt;=900,"High HP",
G21&gt;=750,"Medium HP",
G21&lt;750,"Low HP")</f>
        <v>Low HP</v>
      </c>
    </row>
    <row r="22" spans="1:12" x14ac:dyDescent="0.25">
      <c r="A22" t="s">
        <v>9</v>
      </c>
      <c r="B22">
        <v>2022</v>
      </c>
      <c r="C22" t="s">
        <v>16</v>
      </c>
      <c r="D22" t="s">
        <v>17</v>
      </c>
      <c r="E22" t="s">
        <v>12</v>
      </c>
      <c r="F22" s="6">
        <v>245000</v>
      </c>
      <c r="G22">
        <v>641</v>
      </c>
      <c r="H22">
        <v>3000</v>
      </c>
      <c r="I22" t="s">
        <v>13</v>
      </c>
      <c r="J22" t="str" cm="1">
        <f t="array" ref="J22">_xlfn.IFS(
F22&gt;520000,"High Price",
F22&gt;=350000,"Medium Price",
F22&lt;349000,"Low Price")</f>
        <v>Low Price</v>
      </c>
      <c r="K22" s="6">
        <f>Table1[[#This Row],[Base Price (USD)]]*Table1[[#This Row],[Sales Volume]]</f>
        <v>735000000</v>
      </c>
      <c r="L22" t="str" cm="1">
        <f t="array" ref="L22">_xlfn.IFS(
G22&gt;=900,"High HP",
G22&gt;=750,"Medium HP",
G22&lt;750,"Low HP")</f>
        <v>Low HP</v>
      </c>
    </row>
    <row r="23" spans="1:12" x14ac:dyDescent="0.25">
      <c r="A23" t="s">
        <v>18</v>
      </c>
      <c r="B23">
        <v>2022</v>
      </c>
      <c r="C23" t="s">
        <v>10</v>
      </c>
      <c r="D23" t="s">
        <v>19</v>
      </c>
      <c r="E23" t="s">
        <v>12</v>
      </c>
      <c r="F23" s="6">
        <v>270000</v>
      </c>
      <c r="G23">
        <v>631</v>
      </c>
      <c r="H23">
        <v>3113</v>
      </c>
      <c r="I23" t="s">
        <v>13</v>
      </c>
      <c r="J23" t="str" cm="1">
        <f t="array" ref="J23">_xlfn.IFS(
F23&gt;520000,"High Price",
F23&gt;=350000,"Medium Price",
F23&lt;349000,"Low Price")</f>
        <v>Low Price</v>
      </c>
      <c r="K23" s="6">
        <f>Table1[[#This Row],[Base Price (USD)]]*Table1[[#This Row],[Sales Volume]]</f>
        <v>840510000</v>
      </c>
      <c r="L23" t="str" cm="1">
        <f t="array" ref="L23">_xlfn.IFS(
G23&gt;=900,"High HP",
G23&gt;=750,"Medium HP",
G23&lt;750,"Low HP")</f>
        <v>Low HP</v>
      </c>
    </row>
    <row r="24" spans="1:12" x14ac:dyDescent="0.25">
      <c r="A24" t="s">
        <v>18</v>
      </c>
      <c r="B24">
        <v>2022</v>
      </c>
      <c r="C24" t="s">
        <v>14</v>
      </c>
      <c r="D24" t="s">
        <v>20</v>
      </c>
      <c r="E24" t="s">
        <v>12</v>
      </c>
      <c r="F24" s="6">
        <v>280000</v>
      </c>
      <c r="G24">
        <v>631</v>
      </c>
      <c r="H24">
        <v>3300</v>
      </c>
      <c r="I24" t="s">
        <v>13</v>
      </c>
      <c r="J24" t="str" cm="1">
        <f t="array" ref="J24">_xlfn.IFS(
F24&gt;520000,"High Price",
F24&gt;=350000,"Medium Price",
F24&lt;349000,"Low Price")</f>
        <v>Low Price</v>
      </c>
      <c r="K24" s="6">
        <f>Table1[[#This Row],[Base Price (USD)]]*Table1[[#This Row],[Sales Volume]]</f>
        <v>924000000</v>
      </c>
      <c r="L24" t="str" cm="1">
        <f t="array" ref="L24">_xlfn.IFS(
G24&gt;=900,"High HP",
G24&gt;=750,"Medium HP",
G24&lt;750,"Low HP")</f>
        <v>Low HP</v>
      </c>
    </row>
    <row r="25" spans="1:12" x14ac:dyDescent="0.25">
      <c r="A25" t="s">
        <v>18</v>
      </c>
      <c r="B25">
        <v>2022</v>
      </c>
      <c r="C25" t="s">
        <v>16</v>
      </c>
      <c r="D25" t="s">
        <v>11</v>
      </c>
      <c r="E25" t="s">
        <v>12</v>
      </c>
      <c r="F25" s="6">
        <v>275000</v>
      </c>
      <c r="G25">
        <v>631</v>
      </c>
      <c r="H25">
        <v>1900</v>
      </c>
      <c r="I25" t="s">
        <v>13</v>
      </c>
      <c r="J25" t="str" cm="1">
        <f t="array" ref="J25">_xlfn.IFS(
F25&gt;520000,"High Price",
F25&gt;=350000,"Medium Price",
F25&lt;349000,"Low Price")</f>
        <v>Low Price</v>
      </c>
      <c r="K25" s="6">
        <f>Table1[[#This Row],[Base Price (USD)]]*Table1[[#This Row],[Sales Volume]]</f>
        <v>522500000</v>
      </c>
      <c r="L25" t="str" cm="1">
        <f t="array" ref="L25">_xlfn.IFS(
G25&gt;=900,"High HP",
G25&gt;=750,"Medium HP",
G25&lt;750,"Low HP")</f>
        <v>Low HP</v>
      </c>
    </row>
    <row r="26" spans="1:12" x14ac:dyDescent="0.25">
      <c r="A26" t="s">
        <v>21</v>
      </c>
      <c r="B26">
        <v>2022</v>
      </c>
      <c r="C26" t="s">
        <v>10</v>
      </c>
      <c r="D26" t="s">
        <v>11</v>
      </c>
      <c r="E26" t="s">
        <v>12</v>
      </c>
      <c r="F26" s="6">
        <v>570000</v>
      </c>
      <c r="G26">
        <v>769</v>
      </c>
      <c r="H26">
        <v>753</v>
      </c>
      <c r="I26" t="s">
        <v>13</v>
      </c>
      <c r="J26" t="str" cm="1">
        <f t="array" ref="J26">_xlfn.IFS(
F26&gt;520000,"High Price",
F26&gt;=350000,"Medium Price",
F26&lt;349000,"Low Price")</f>
        <v>High Price</v>
      </c>
      <c r="K26" s="6">
        <f>Table1[[#This Row],[Base Price (USD)]]*Table1[[#This Row],[Sales Volume]]</f>
        <v>429210000</v>
      </c>
      <c r="L26" t="str" cm="1">
        <f t="array" ref="L26">_xlfn.IFS(
G26&gt;=900,"High HP",
G26&gt;=750,"Medium HP",
G26&lt;750,"Low HP")</f>
        <v>Medium HP</v>
      </c>
    </row>
    <row r="27" spans="1:12" x14ac:dyDescent="0.25">
      <c r="A27" t="s">
        <v>21</v>
      </c>
      <c r="B27">
        <v>2022</v>
      </c>
      <c r="C27" t="s">
        <v>14</v>
      </c>
      <c r="D27" t="s">
        <v>15</v>
      </c>
      <c r="E27" t="s">
        <v>12</v>
      </c>
      <c r="F27" s="6">
        <v>580000</v>
      </c>
      <c r="G27">
        <v>769</v>
      </c>
      <c r="H27">
        <v>780</v>
      </c>
      <c r="I27" t="s">
        <v>13</v>
      </c>
      <c r="J27" t="str" cm="1">
        <f t="array" ref="J27">_xlfn.IFS(
F27&gt;520000,"High Price",
F27&gt;=350000,"Medium Price",
F27&lt;349000,"Low Price")</f>
        <v>High Price</v>
      </c>
      <c r="K27" s="6">
        <f>Table1[[#This Row],[Base Price (USD)]]*Table1[[#This Row],[Sales Volume]]</f>
        <v>452400000</v>
      </c>
      <c r="L27" t="str" cm="1">
        <f t="array" ref="L27">_xlfn.IFS(
G27&gt;=900,"High HP",
G27&gt;=750,"Medium HP",
G27&lt;750,"Low HP")</f>
        <v>Medium HP</v>
      </c>
    </row>
    <row r="28" spans="1:12" x14ac:dyDescent="0.25">
      <c r="A28" t="s">
        <v>21</v>
      </c>
      <c r="B28">
        <v>2022</v>
      </c>
      <c r="C28" t="s">
        <v>16</v>
      </c>
      <c r="D28" t="s">
        <v>17</v>
      </c>
      <c r="E28" t="s">
        <v>12</v>
      </c>
      <c r="F28" s="6">
        <v>575000</v>
      </c>
      <c r="G28">
        <v>769</v>
      </c>
      <c r="H28">
        <v>480</v>
      </c>
      <c r="I28" t="s">
        <v>13</v>
      </c>
      <c r="J28" t="str" cm="1">
        <f t="array" ref="J28">_xlfn.IFS(
F28&gt;520000,"High Price",
F28&gt;=350000,"Medium Price",
F28&lt;349000,"Low Price")</f>
        <v>High Price</v>
      </c>
      <c r="K28" s="6">
        <f>Table1[[#This Row],[Base Price (USD)]]*Table1[[#This Row],[Sales Volume]]</f>
        <v>276000000</v>
      </c>
      <c r="L28" t="str" cm="1">
        <f t="array" ref="L28">_xlfn.IFS(
G28&gt;=900,"High HP",
G28&gt;=750,"Medium HP",
G28&lt;750,"Low HP")</f>
        <v>Medium HP</v>
      </c>
    </row>
    <row r="29" spans="1:12" x14ac:dyDescent="0.25">
      <c r="A29" t="s">
        <v>9</v>
      </c>
      <c r="B29">
        <v>2023</v>
      </c>
      <c r="C29" t="s">
        <v>10</v>
      </c>
      <c r="D29" t="s">
        <v>11</v>
      </c>
      <c r="E29" t="s">
        <v>12</v>
      </c>
      <c r="F29" s="6">
        <v>250000</v>
      </c>
      <c r="G29">
        <v>641</v>
      </c>
      <c r="H29">
        <v>6087</v>
      </c>
      <c r="I29" t="s">
        <v>13</v>
      </c>
      <c r="J29" t="str" cm="1">
        <f t="array" ref="J29">_xlfn.IFS(
F29&gt;520000,"High Price",
F29&gt;=350000,"Medium Price",
F29&lt;349000,"Low Price")</f>
        <v>Low Price</v>
      </c>
      <c r="K29" s="6">
        <f>Table1[[#This Row],[Base Price (USD)]]*Table1[[#This Row],[Sales Volume]]</f>
        <v>1521750000</v>
      </c>
      <c r="L29" t="str" cm="1">
        <f t="array" ref="L29">_xlfn.IFS(
G29&gt;=900,"High HP",
G29&gt;=750,"Medium HP",
G29&lt;750,"Low HP")</f>
        <v>Low HP</v>
      </c>
    </row>
    <row r="30" spans="1:12" x14ac:dyDescent="0.25">
      <c r="A30" t="s">
        <v>9</v>
      </c>
      <c r="B30">
        <v>2023</v>
      </c>
      <c r="C30" t="s">
        <v>14</v>
      </c>
      <c r="D30" t="s">
        <v>15</v>
      </c>
      <c r="E30" t="s">
        <v>12</v>
      </c>
      <c r="F30" s="6">
        <v>260000</v>
      </c>
      <c r="G30">
        <v>641</v>
      </c>
      <c r="H30">
        <v>6200</v>
      </c>
      <c r="I30" t="s">
        <v>13</v>
      </c>
      <c r="J30" t="str" cm="1">
        <f t="array" ref="J30">_xlfn.IFS(
F30&gt;520000,"High Price",
F30&gt;=350000,"Medium Price",
F30&lt;349000,"Low Price")</f>
        <v>Low Price</v>
      </c>
      <c r="K30" s="6">
        <f>Table1[[#This Row],[Base Price (USD)]]*Table1[[#This Row],[Sales Volume]]</f>
        <v>1612000000</v>
      </c>
      <c r="L30" t="str" cm="1">
        <f t="array" ref="L30">_xlfn.IFS(
G30&gt;=900,"High HP",
G30&gt;=750,"Medium HP",
G30&lt;750,"Low HP")</f>
        <v>Low HP</v>
      </c>
    </row>
    <row r="31" spans="1:12" x14ac:dyDescent="0.25">
      <c r="A31" t="s">
        <v>9</v>
      </c>
      <c r="B31">
        <v>2023</v>
      </c>
      <c r="C31" t="s">
        <v>16</v>
      </c>
      <c r="D31" t="s">
        <v>17</v>
      </c>
      <c r="E31" t="s">
        <v>12</v>
      </c>
      <c r="F31" s="6">
        <v>255000</v>
      </c>
      <c r="G31">
        <v>641</v>
      </c>
      <c r="H31">
        <v>3100</v>
      </c>
      <c r="I31" t="s">
        <v>13</v>
      </c>
      <c r="J31" t="str" cm="1">
        <f t="array" ref="J31">_xlfn.IFS(
F31&gt;520000,"High Price",
F31&gt;=350000,"Medium Price",
F31&lt;349000,"Low Price")</f>
        <v>Low Price</v>
      </c>
      <c r="K31" s="6">
        <f>Table1[[#This Row],[Base Price (USD)]]*Table1[[#This Row],[Sales Volume]]</f>
        <v>790500000</v>
      </c>
      <c r="L31" t="str" cm="1">
        <f t="array" ref="L31">_xlfn.IFS(
G31&gt;=900,"High HP",
G31&gt;=750,"Medium HP",
G31&lt;750,"Low HP")</f>
        <v>Low HP</v>
      </c>
    </row>
    <row r="32" spans="1:12" x14ac:dyDescent="0.25">
      <c r="A32" t="s">
        <v>18</v>
      </c>
      <c r="B32">
        <v>2023</v>
      </c>
      <c r="C32" t="s">
        <v>10</v>
      </c>
      <c r="D32" t="s">
        <v>19</v>
      </c>
      <c r="E32" t="s">
        <v>12</v>
      </c>
      <c r="F32" s="6">
        <v>280000</v>
      </c>
      <c r="G32">
        <v>631</v>
      </c>
      <c r="H32">
        <v>3962</v>
      </c>
      <c r="I32" t="s">
        <v>13</v>
      </c>
      <c r="J32" t="str" cm="1">
        <f t="array" ref="J32">_xlfn.IFS(
F32&gt;520000,"High Price",
F32&gt;=350000,"Medium Price",
F32&lt;349000,"Low Price")</f>
        <v>Low Price</v>
      </c>
      <c r="K32" s="6">
        <f>Table1[[#This Row],[Base Price (USD)]]*Table1[[#This Row],[Sales Volume]]</f>
        <v>1109360000</v>
      </c>
      <c r="L32" t="str" cm="1">
        <f t="array" ref="L32">_xlfn.IFS(
G32&gt;=900,"High HP",
G32&gt;=750,"Medium HP",
G32&lt;750,"Low HP")</f>
        <v>Low HP</v>
      </c>
    </row>
    <row r="33" spans="1:12" x14ac:dyDescent="0.25">
      <c r="A33" t="s">
        <v>18</v>
      </c>
      <c r="B33">
        <v>2023</v>
      </c>
      <c r="C33" t="s">
        <v>14</v>
      </c>
      <c r="D33" t="s">
        <v>20</v>
      </c>
      <c r="E33" t="s">
        <v>12</v>
      </c>
      <c r="F33" s="6">
        <v>290000</v>
      </c>
      <c r="G33">
        <v>631</v>
      </c>
      <c r="H33">
        <v>4000</v>
      </c>
      <c r="I33" t="s">
        <v>13</v>
      </c>
      <c r="J33" t="str" cm="1">
        <f t="array" ref="J33">_xlfn.IFS(
F33&gt;520000,"High Price",
F33&gt;=350000,"Medium Price",
F33&lt;349000,"Low Price")</f>
        <v>Low Price</v>
      </c>
      <c r="K33" s="6">
        <f>Table1[[#This Row],[Base Price (USD)]]*Table1[[#This Row],[Sales Volume]]</f>
        <v>1160000000</v>
      </c>
      <c r="L33" t="str" cm="1">
        <f t="array" ref="L33">_xlfn.IFS(
G33&gt;=900,"High HP",
G33&gt;=750,"Medium HP",
G33&lt;750,"Low HP")</f>
        <v>Low HP</v>
      </c>
    </row>
    <row r="34" spans="1:12" x14ac:dyDescent="0.25">
      <c r="A34" t="s">
        <v>18</v>
      </c>
      <c r="B34">
        <v>2023</v>
      </c>
      <c r="C34" t="s">
        <v>16</v>
      </c>
      <c r="D34" t="s">
        <v>11</v>
      </c>
      <c r="E34" t="s">
        <v>12</v>
      </c>
      <c r="F34" s="6">
        <v>285000</v>
      </c>
      <c r="G34">
        <v>631</v>
      </c>
      <c r="H34">
        <v>2300</v>
      </c>
      <c r="I34" t="s">
        <v>13</v>
      </c>
      <c r="J34" t="str" cm="1">
        <f t="array" ref="J34">_xlfn.IFS(
F34&gt;520000,"High Price",
F34&gt;=350000,"Medium Price",
F34&lt;349000,"Low Price")</f>
        <v>Low Price</v>
      </c>
      <c r="K34" s="6">
        <f>Table1[[#This Row],[Base Price (USD)]]*Table1[[#This Row],[Sales Volume]]</f>
        <v>655500000</v>
      </c>
      <c r="L34" t="str" cm="1">
        <f t="array" ref="L34">_xlfn.IFS(
G34&gt;=900,"High HP",
G34&gt;=750,"Medium HP",
G34&lt;750,"Low HP")</f>
        <v>Low HP</v>
      </c>
    </row>
    <row r="35" spans="1:12" x14ac:dyDescent="0.25">
      <c r="A35" t="s">
        <v>21</v>
      </c>
      <c r="B35">
        <v>2023</v>
      </c>
      <c r="C35" t="s">
        <v>10</v>
      </c>
      <c r="D35" t="s">
        <v>11</v>
      </c>
      <c r="E35" t="s">
        <v>12</v>
      </c>
      <c r="F35" s="6">
        <v>580000</v>
      </c>
      <c r="G35">
        <v>769</v>
      </c>
      <c r="H35">
        <v>63</v>
      </c>
      <c r="I35" t="s">
        <v>13</v>
      </c>
      <c r="J35" t="str" cm="1">
        <f t="array" ref="J35">_xlfn.IFS(
F35&gt;520000,"High Price",
F35&gt;=350000,"Medium Price",
F35&lt;349000,"Low Price")</f>
        <v>High Price</v>
      </c>
      <c r="K35" s="6">
        <f>Table1[[#This Row],[Base Price (USD)]]*Table1[[#This Row],[Sales Volume]]</f>
        <v>36540000</v>
      </c>
      <c r="L35" t="str" cm="1">
        <f t="array" ref="L35">_xlfn.IFS(
G35&gt;=900,"High HP",
G35&gt;=750,"Medium HP",
G35&lt;750,"Low HP")</f>
        <v>Medium HP</v>
      </c>
    </row>
    <row r="36" spans="1:12" x14ac:dyDescent="0.25">
      <c r="A36" t="s">
        <v>21</v>
      </c>
      <c r="B36">
        <v>2023</v>
      </c>
      <c r="C36" t="s">
        <v>14</v>
      </c>
      <c r="D36" t="s">
        <v>15</v>
      </c>
      <c r="E36" t="s">
        <v>12</v>
      </c>
      <c r="F36" s="6">
        <v>590000</v>
      </c>
      <c r="G36">
        <v>769</v>
      </c>
      <c r="H36">
        <v>63</v>
      </c>
      <c r="I36" t="s">
        <v>13</v>
      </c>
      <c r="J36" t="str" cm="1">
        <f t="array" ref="J36">_xlfn.IFS(
F36&gt;520000,"High Price",
F36&gt;=350000,"Medium Price",
F36&lt;349000,"Low Price")</f>
        <v>High Price</v>
      </c>
      <c r="K36" s="6">
        <f>Table1[[#This Row],[Base Price (USD)]]*Table1[[#This Row],[Sales Volume]]</f>
        <v>37170000</v>
      </c>
      <c r="L36" t="str" cm="1">
        <f t="array" ref="L36">_xlfn.IFS(
G36&gt;=900,"High HP",
G36&gt;=750,"Medium HP",
G36&lt;750,"Low HP")</f>
        <v>Medium HP</v>
      </c>
    </row>
    <row r="37" spans="1:12" x14ac:dyDescent="0.25">
      <c r="A37" t="s">
        <v>21</v>
      </c>
      <c r="B37">
        <v>2023</v>
      </c>
      <c r="C37" t="s">
        <v>16</v>
      </c>
      <c r="D37" t="s">
        <v>17</v>
      </c>
      <c r="E37" t="s">
        <v>12</v>
      </c>
      <c r="F37" s="6">
        <v>585000</v>
      </c>
      <c r="G37">
        <v>769</v>
      </c>
      <c r="H37">
        <v>63</v>
      </c>
      <c r="I37" t="s">
        <v>13</v>
      </c>
      <c r="J37" t="str" cm="1">
        <f t="array" ref="J37">_xlfn.IFS(
F37&gt;520000,"High Price",
F37&gt;=350000,"Medium Price",
F37&lt;349000,"Low Price")</f>
        <v>High Price</v>
      </c>
      <c r="K37" s="6">
        <f>Table1[[#This Row],[Base Price (USD)]]*Table1[[#This Row],[Sales Volume]]</f>
        <v>36855000</v>
      </c>
      <c r="L37" t="str" cm="1">
        <f t="array" ref="L37">_xlfn.IFS(
G37&gt;=900,"High HP",
G37&gt;=750,"Medium HP",
G37&lt;750,"Low HP")</f>
        <v>Medium HP</v>
      </c>
    </row>
    <row r="38" spans="1:12" x14ac:dyDescent="0.25">
      <c r="A38" t="s">
        <v>23</v>
      </c>
      <c r="B38">
        <v>2024</v>
      </c>
      <c r="C38" t="s">
        <v>10</v>
      </c>
      <c r="D38" t="s">
        <v>24</v>
      </c>
      <c r="E38" t="s">
        <v>25</v>
      </c>
      <c r="F38" s="6">
        <v>500000</v>
      </c>
      <c r="G38">
        <v>1001</v>
      </c>
      <c r="H38">
        <v>1406</v>
      </c>
      <c r="I38" t="s">
        <v>13</v>
      </c>
      <c r="J38" t="str" cm="1">
        <f t="array" ref="J38">_xlfn.IFS(
F38&gt;520000,"High Price",
F38&gt;=350000,"Medium Price",
F38&lt;349000,"Low Price")</f>
        <v>Medium Price</v>
      </c>
      <c r="K38" s="6">
        <f>Table1[[#This Row],[Base Price (USD)]]*Table1[[#This Row],[Sales Volume]]</f>
        <v>703000000</v>
      </c>
      <c r="L38" t="str" cm="1">
        <f t="array" ref="L38">_xlfn.IFS(
G38&gt;=900,"High HP",
G38&gt;=750,"Medium HP",
G38&lt;750,"Low HP")</f>
        <v>High HP</v>
      </c>
    </row>
    <row r="39" spans="1:12" x14ac:dyDescent="0.25">
      <c r="A39" t="s">
        <v>23</v>
      </c>
      <c r="B39">
        <v>2024</v>
      </c>
      <c r="C39" t="s">
        <v>14</v>
      </c>
      <c r="D39" t="s">
        <v>15</v>
      </c>
      <c r="E39" t="s">
        <v>25</v>
      </c>
      <c r="F39" s="6">
        <v>520000</v>
      </c>
      <c r="G39">
        <v>1001</v>
      </c>
      <c r="H39">
        <v>1500</v>
      </c>
      <c r="I39" t="s">
        <v>13</v>
      </c>
      <c r="J39" t="str" cm="1">
        <f t="array" ref="J39">_xlfn.IFS(
F39&gt;520000,"High Price",
F39&gt;=350000,"Medium Price",
F39&lt;349000,"Low Price")</f>
        <v>Medium Price</v>
      </c>
      <c r="K39" s="6">
        <f>Table1[[#This Row],[Base Price (USD)]]*Table1[[#This Row],[Sales Volume]]</f>
        <v>780000000</v>
      </c>
      <c r="L39" t="str" cm="1">
        <f t="array" ref="L39">_xlfn.IFS(
G39&gt;=900,"High HP",
G39&gt;=750,"Medium HP",
G39&lt;750,"Low HP")</f>
        <v>High HP</v>
      </c>
    </row>
    <row r="40" spans="1:12" x14ac:dyDescent="0.25">
      <c r="A40" t="s">
        <v>23</v>
      </c>
      <c r="B40">
        <v>2024</v>
      </c>
      <c r="C40" t="s">
        <v>16</v>
      </c>
      <c r="D40" t="s">
        <v>26</v>
      </c>
      <c r="E40" t="s">
        <v>25</v>
      </c>
      <c r="F40" s="6">
        <v>510000</v>
      </c>
      <c r="G40">
        <v>1001</v>
      </c>
      <c r="H40">
        <v>900</v>
      </c>
      <c r="I40" t="s">
        <v>13</v>
      </c>
      <c r="J40" t="str" cm="1">
        <f t="array" ref="J40">_xlfn.IFS(
F40&gt;520000,"High Price",
F40&gt;=350000,"Medium Price",
F40&lt;349000,"Low Price")</f>
        <v>Medium Price</v>
      </c>
      <c r="K40" s="6">
        <f>Table1[[#This Row],[Base Price (USD)]]*Table1[[#This Row],[Sales Volume]]</f>
        <v>459000000</v>
      </c>
      <c r="L40" t="str" cm="1">
        <f t="array" ref="L40">_xlfn.IFS(
G40&gt;=900,"High HP",
G40&gt;=750,"Medium HP",
G40&lt;750,"Low HP")</f>
        <v>High HP</v>
      </c>
    </row>
    <row r="41" spans="1:12" x14ac:dyDescent="0.25">
      <c r="A41" t="s">
        <v>27</v>
      </c>
      <c r="B41">
        <v>2024</v>
      </c>
      <c r="C41" t="s">
        <v>10</v>
      </c>
      <c r="D41" t="s">
        <v>11</v>
      </c>
      <c r="E41" t="s">
        <v>25</v>
      </c>
      <c r="F41" s="6">
        <v>300000</v>
      </c>
      <c r="G41">
        <v>641</v>
      </c>
      <c r="H41">
        <v>5662</v>
      </c>
      <c r="I41" t="s">
        <v>13</v>
      </c>
      <c r="J41" t="str" cm="1">
        <f t="array" ref="J41">_xlfn.IFS(
F41&gt;520000,"High Price",
F41&gt;=350000,"Medium Price",
F41&lt;349000,"Low Price")</f>
        <v>Low Price</v>
      </c>
      <c r="K41" s="6">
        <f>Table1[[#This Row],[Base Price (USD)]]*Table1[[#This Row],[Sales Volume]]</f>
        <v>1698600000</v>
      </c>
      <c r="L41" t="str" cm="1">
        <f t="array" ref="L41">_xlfn.IFS(
G41&gt;=900,"High HP",
G41&gt;=750,"Medium HP",
G41&lt;750,"Low HP")</f>
        <v>Low HP</v>
      </c>
    </row>
    <row r="42" spans="1:12" x14ac:dyDescent="0.25">
      <c r="A42" t="s">
        <v>27</v>
      </c>
      <c r="B42">
        <v>2024</v>
      </c>
      <c r="C42" t="s">
        <v>14</v>
      </c>
      <c r="D42" t="s">
        <v>22</v>
      </c>
      <c r="E42" t="s">
        <v>25</v>
      </c>
      <c r="F42" s="6">
        <v>320000</v>
      </c>
      <c r="G42">
        <v>641</v>
      </c>
      <c r="H42">
        <v>5800</v>
      </c>
      <c r="I42" t="s">
        <v>13</v>
      </c>
      <c r="J42" t="str" cm="1">
        <f t="array" ref="J42">_xlfn.IFS(
F42&gt;520000,"High Price",
F42&gt;=350000,"Medium Price",
F42&lt;349000,"Low Price")</f>
        <v>Low Price</v>
      </c>
      <c r="K42" s="6">
        <f>Table1[[#This Row],[Base Price (USD)]]*Table1[[#This Row],[Sales Volume]]</f>
        <v>1856000000</v>
      </c>
      <c r="L42" t="str" cm="1">
        <f t="array" ref="L42">_xlfn.IFS(
G42&gt;=900,"High HP",
G42&gt;=750,"Medium HP",
G42&lt;750,"Low HP")</f>
        <v>Low HP</v>
      </c>
    </row>
    <row r="43" spans="1:12" x14ac:dyDescent="0.25">
      <c r="A43" t="s">
        <v>27</v>
      </c>
      <c r="B43">
        <v>2024</v>
      </c>
      <c r="C43" t="s">
        <v>16</v>
      </c>
      <c r="D43" t="s">
        <v>17</v>
      </c>
      <c r="E43" t="s">
        <v>25</v>
      </c>
      <c r="F43" s="6">
        <v>310000</v>
      </c>
      <c r="G43">
        <v>641</v>
      </c>
      <c r="H43">
        <v>3150</v>
      </c>
      <c r="I43" t="s">
        <v>13</v>
      </c>
      <c r="J43" t="str" cm="1">
        <f t="array" ref="J43">_xlfn.IFS(
F43&gt;520000,"High Price",
F43&gt;=350000,"Medium Price",
F43&lt;349000,"Low Price")</f>
        <v>Low Price</v>
      </c>
      <c r="K43" s="6">
        <f>Table1[[#This Row],[Base Price (USD)]]*Table1[[#This Row],[Sales Volume]]</f>
        <v>976500000</v>
      </c>
      <c r="L43" t="str" cm="1">
        <f t="array" ref="L43">_xlfn.IFS(
G43&gt;=900,"High HP",
G43&gt;=750,"Medium HP",
G43&lt;750,"Low HP")</f>
        <v>Low HP</v>
      </c>
    </row>
    <row r="44" spans="1:12" x14ac:dyDescent="0.25">
      <c r="A44" t="s">
        <v>18</v>
      </c>
      <c r="B44">
        <v>2024</v>
      </c>
      <c r="C44" t="s">
        <v>10</v>
      </c>
      <c r="D44" t="s">
        <v>19</v>
      </c>
      <c r="E44" t="s">
        <v>12</v>
      </c>
      <c r="F44" s="6">
        <v>290000</v>
      </c>
      <c r="G44">
        <v>631</v>
      </c>
      <c r="H44">
        <v>3600</v>
      </c>
      <c r="I44" t="s">
        <v>13</v>
      </c>
      <c r="J44" t="str" cm="1">
        <f t="array" ref="J44">_xlfn.IFS(
F44&gt;520000,"High Price",
F44&gt;=350000,"Medium Price",
F44&lt;349000,"Low Price")</f>
        <v>Low Price</v>
      </c>
      <c r="K44" s="6">
        <f>Table1[[#This Row],[Base Price (USD)]]*Table1[[#This Row],[Sales Volume]]</f>
        <v>1044000000</v>
      </c>
      <c r="L44" t="str" cm="1">
        <f t="array" ref="L44">_xlfn.IFS(
G44&gt;=900,"High HP",
G44&gt;=750,"Medium HP",
G44&lt;750,"Low HP")</f>
        <v>Low HP</v>
      </c>
    </row>
    <row r="45" spans="1:12" x14ac:dyDescent="0.25">
      <c r="A45" t="s">
        <v>18</v>
      </c>
      <c r="B45">
        <v>2024</v>
      </c>
      <c r="C45" t="s">
        <v>14</v>
      </c>
      <c r="D45" t="s">
        <v>20</v>
      </c>
      <c r="E45" t="s">
        <v>12</v>
      </c>
      <c r="F45" s="6">
        <v>300000</v>
      </c>
      <c r="G45">
        <v>631</v>
      </c>
      <c r="H45">
        <v>3700</v>
      </c>
      <c r="I45" t="s">
        <v>13</v>
      </c>
      <c r="J45" t="str" cm="1">
        <f t="array" ref="J45">_xlfn.IFS(
F45&gt;520000,"High Price",
F45&gt;=350000,"Medium Price",
F45&lt;349000,"Low Price")</f>
        <v>Low Price</v>
      </c>
      <c r="K45" s="6">
        <f>Table1[[#This Row],[Base Price (USD)]]*Table1[[#This Row],[Sales Volume]]</f>
        <v>1110000000</v>
      </c>
      <c r="L45" t="str" cm="1">
        <f t="array" ref="L45">_xlfn.IFS(
G45&gt;=900,"High HP",
G45&gt;=750,"Medium HP",
G45&lt;750,"Low HP")</f>
        <v>Low HP</v>
      </c>
    </row>
    <row r="46" spans="1:12" x14ac:dyDescent="0.25">
      <c r="A46" t="s">
        <v>18</v>
      </c>
      <c r="B46">
        <v>2024</v>
      </c>
      <c r="C46" t="s">
        <v>16</v>
      </c>
      <c r="D46" t="s">
        <v>11</v>
      </c>
      <c r="E46" t="s">
        <v>12</v>
      </c>
      <c r="F46" s="6">
        <v>295000</v>
      </c>
      <c r="G46">
        <v>631</v>
      </c>
      <c r="H46">
        <v>2200</v>
      </c>
      <c r="I46" t="s">
        <v>13</v>
      </c>
      <c r="J46" t="str" cm="1">
        <f t="array" ref="J46">_xlfn.IFS(
F46&gt;520000,"High Price",
F46&gt;=350000,"Medium Price",
F46&lt;349000,"Low Price")</f>
        <v>Low Price</v>
      </c>
      <c r="K46" s="6">
        <f>Table1[[#This Row],[Base Price (USD)]]*Table1[[#This Row],[Sales Volume]]</f>
        <v>649000000</v>
      </c>
      <c r="L46" t="str" cm="1">
        <f t="array" ref="L46">_xlfn.IFS(
G46&gt;=900,"High HP",
G46&gt;=750,"Medium HP",
G46&lt;750,"Low HP")</f>
        <v>Low HP</v>
      </c>
    </row>
    <row r="47" spans="1:12" x14ac:dyDescent="0.25">
      <c r="A47" t="s">
        <v>23</v>
      </c>
      <c r="B47">
        <v>2025</v>
      </c>
      <c r="C47" t="s">
        <v>10</v>
      </c>
      <c r="D47" t="s">
        <v>17</v>
      </c>
      <c r="E47" t="s">
        <v>25</v>
      </c>
      <c r="F47" s="6">
        <v>550000</v>
      </c>
      <c r="G47">
        <v>1001</v>
      </c>
      <c r="H47">
        <v>1700</v>
      </c>
      <c r="I47" t="s">
        <v>13</v>
      </c>
      <c r="J47" t="str" cm="1">
        <f t="array" ref="J47">_xlfn.IFS(
F47&gt;520000,"High Price",
F47&gt;=350000,"Medium Price",
F47&lt;349000,"Low Price")</f>
        <v>High Price</v>
      </c>
      <c r="K47" s="6">
        <f>Table1[[#This Row],[Base Price (USD)]]*Table1[[#This Row],[Sales Volume]]</f>
        <v>935000000</v>
      </c>
      <c r="L47" t="str" cm="1">
        <f t="array" ref="L47">_xlfn.IFS(
G47&gt;=900,"High HP",
G47&gt;=750,"Medium HP",
G47&lt;750,"Low HP")</f>
        <v>High HP</v>
      </c>
    </row>
    <row r="48" spans="1:12" x14ac:dyDescent="0.25">
      <c r="A48" t="s">
        <v>23</v>
      </c>
      <c r="B48">
        <v>2025</v>
      </c>
      <c r="C48" t="s">
        <v>14</v>
      </c>
      <c r="D48" t="s">
        <v>24</v>
      </c>
      <c r="E48" t="s">
        <v>25</v>
      </c>
      <c r="F48" s="6">
        <v>570000</v>
      </c>
      <c r="G48">
        <v>1001</v>
      </c>
      <c r="H48">
        <v>1800</v>
      </c>
      <c r="I48" t="s">
        <v>13</v>
      </c>
      <c r="J48" t="str" cm="1">
        <f t="array" ref="J48">_xlfn.IFS(
F48&gt;520000,"High Price",
F48&gt;=350000,"Medium Price",
F48&lt;349000,"Low Price")</f>
        <v>High Price</v>
      </c>
      <c r="K48" s="6">
        <f>Table1[[#This Row],[Base Price (USD)]]*Table1[[#This Row],[Sales Volume]]</f>
        <v>1026000000</v>
      </c>
      <c r="L48" t="str" cm="1">
        <f t="array" ref="L48">_xlfn.IFS(
G48&gt;=900,"High HP",
G48&gt;=750,"Medium HP",
G48&lt;750,"Low HP")</f>
        <v>High HP</v>
      </c>
    </row>
    <row r="49" spans="1:12" x14ac:dyDescent="0.25">
      <c r="A49" t="s">
        <v>23</v>
      </c>
      <c r="B49">
        <v>2025</v>
      </c>
      <c r="C49" t="s">
        <v>16</v>
      </c>
      <c r="D49" t="s">
        <v>11</v>
      </c>
      <c r="E49" t="s">
        <v>25</v>
      </c>
      <c r="F49" s="6">
        <v>560000</v>
      </c>
      <c r="G49">
        <v>1001</v>
      </c>
      <c r="H49">
        <v>1650</v>
      </c>
      <c r="I49" t="s">
        <v>13</v>
      </c>
      <c r="J49" t="str" cm="1">
        <f t="array" ref="J49">_xlfn.IFS(
F49&gt;520000,"High Price",
F49&gt;=350000,"Medium Price",
F49&lt;349000,"Low Price")</f>
        <v>High Price</v>
      </c>
      <c r="K49" s="6">
        <f>Table1[[#This Row],[Base Price (USD)]]*Table1[[#This Row],[Sales Volume]]</f>
        <v>924000000</v>
      </c>
      <c r="L49" t="str" cm="1">
        <f t="array" ref="L49">_xlfn.IFS(
G49&gt;=900,"High HP",
G49&gt;=750,"Medium HP",
G49&lt;750,"Low HP")</f>
        <v>High HP</v>
      </c>
    </row>
    <row r="50" spans="1:12" x14ac:dyDescent="0.25">
      <c r="A50" t="s">
        <v>27</v>
      </c>
      <c r="B50">
        <v>2025</v>
      </c>
      <c r="C50" t="s">
        <v>10</v>
      </c>
      <c r="D50" t="s">
        <v>15</v>
      </c>
      <c r="E50" t="s">
        <v>25</v>
      </c>
      <c r="F50" s="6">
        <v>330000</v>
      </c>
      <c r="G50">
        <v>641</v>
      </c>
      <c r="H50">
        <v>4650</v>
      </c>
      <c r="I50" t="s">
        <v>13</v>
      </c>
      <c r="J50" t="str" cm="1">
        <f t="array" ref="J50">_xlfn.IFS(
F50&gt;520000,"High Price",
F50&gt;=350000,"Medium Price",
F50&lt;349000,"Low Price")</f>
        <v>Low Price</v>
      </c>
      <c r="K50" s="6">
        <f>Table1[[#This Row],[Base Price (USD)]]*Table1[[#This Row],[Sales Volume]]</f>
        <v>1534500000</v>
      </c>
      <c r="L50" t="str" cm="1">
        <f t="array" ref="L50">_xlfn.IFS(
G50&gt;=900,"High HP",
G50&gt;=750,"Medium HP",
G50&lt;750,"Low HP")</f>
        <v>Low HP</v>
      </c>
    </row>
    <row r="51" spans="1:12" x14ac:dyDescent="0.25">
      <c r="A51" t="s">
        <v>27</v>
      </c>
      <c r="B51">
        <v>2025</v>
      </c>
      <c r="C51" t="s">
        <v>14</v>
      </c>
      <c r="D51" t="s">
        <v>11</v>
      </c>
      <c r="E51" t="s">
        <v>25</v>
      </c>
      <c r="F51" s="6">
        <v>340000</v>
      </c>
      <c r="G51">
        <v>641</v>
      </c>
      <c r="H51">
        <v>4800</v>
      </c>
      <c r="I51" t="s">
        <v>13</v>
      </c>
      <c r="J51" t="str" cm="1">
        <f t="array" ref="J51">_xlfn.IFS(
F51&gt;520000,"High Price",
F51&gt;=350000,"Medium Price",
F51&lt;349000,"Low Price")</f>
        <v>Low Price</v>
      </c>
      <c r="K51" s="6">
        <f>Table1[[#This Row],[Base Price (USD)]]*Table1[[#This Row],[Sales Volume]]</f>
        <v>1632000000</v>
      </c>
      <c r="L51" t="str" cm="1">
        <f t="array" ref="L51">_xlfn.IFS(
G51&gt;=900,"High HP",
G51&gt;=750,"Medium HP",
G51&lt;750,"Low HP")</f>
        <v>Low HP</v>
      </c>
    </row>
    <row r="52" spans="1:12" x14ac:dyDescent="0.25">
      <c r="A52" t="s">
        <v>27</v>
      </c>
      <c r="B52">
        <v>2025</v>
      </c>
      <c r="C52" t="s">
        <v>16</v>
      </c>
      <c r="D52" t="s">
        <v>22</v>
      </c>
      <c r="E52" t="s">
        <v>25</v>
      </c>
      <c r="F52" s="6">
        <v>335000</v>
      </c>
      <c r="G52">
        <v>641</v>
      </c>
      <c r="H52">
        <v>2750</v>
      </c>
      <c r="I52" t="s">
        <v>13</v>
      </c>
      <c r="J52" t="str" cm="1">
        <f t="array" ref="J52">_xlfn.IFS(
F52&gt;520000,"High Price",
F52&gt;=350000,"Medium Price",
F52&lt;349000,"Low Price")</f>
        <v>Low Price</v>
      </c>
      <c r="K52" s="6">
        <f>Table1[[#This Row],[Base Price (USD)]]*Table1[[#This Row],[Sales Volume]]</f>
        <v>921250000</v>
      </c>
      <c r="L52" t="str" cm="1">
        <f t="array" ref="L52">_xlfn.IFS(
G52&gt;=900,"High HP",
G52&gt;=750,"Medium HP",
G52&lt;750,"Low HP")</f>
        <v>Low HP</v>
      </c>
    </row>
    <row r="53" spans="1:12" x14ac:dyDescent="0.25">
      <c r="A53" t="s">
        <v>28</v>
      </c>
      <c r="B53">
        <v>2025</v>
      </c>
      <c r="C53" t="s">
        <v>10</v>
      </c>
      <c r="D53" t="s">
        <v>29</v>
      </c>
      <c r="E53" t="s">
        <v>25</v>
      </c>
      <c r="F53" s="6">
        <v>380000</v>
      </c>
      <c r="G53">
        <v>850</v>
      </c>
      <c r="H53">
        <v>1300</v>
      </c>
      <c r="I53" t="s">
        <v>13</v>
      </c>
      <c r="J53" t="str" cm="1">
        <f t="array" ref="J53">_xlfn.IFS(
F53&gt;520000,"High Price",
F53&gt;=350000,"Medium Price",
F53&lt;349000,"Low Price")</f>
        <v>Medium Price</v>
      </c>
      <c r="K53" s="6">
        <f>Table1[[#This Row],[Base Price (USD)]]*Table1[[#This Row],[Sales Volume]]</f>
        <v>494000000</v>
      </c>
      <c r="L53" t="str" cm="1">
        <f t="array" ref="L53">_xlfn.IFS(
G53&gt;=900,"High HP",
G53&gt;=750,"Medium HP",
G53&lt;750,"Low HP")</f>
        <v>Medium HP</v>
      </c>
    </row>
    <row r="54" spans="1:12" x14ac:dyDescent="0.25">
      <c r="A54" t="s">
        <v>28</v>
      </c>
      <c r="B54">
        <v>2025</v>
      </c>
      <c r="C54" t="s">
        <v>14</v>
      </c>
      <c r="D54" t="s">
        <v>20</v>
      </c>
      <c r="E54" t="s">
        <v>25</v>
      </c>
      <c r="F54" s="6">
        <v>390000</v>
      </c>
      <c r="G54">
        <v>850</v>
      </c>
      <c r="H54">
        <v>1400</v>
      </c>
      <c r="I54" t="s">
        <v>13</v>
      </c>
      <c r="J54" t="str" cm="1">
        <f t="array" ref="J54">_xlfn.IFS(
F54&gt;520000,"High Price",
F54&gt;=350000,"Medium Price",
F54&lt;349000,"Low Price")</f>
        <v>Medium Price</v>
      </c>
      <c r="K54" s="6">
        <f>Table1[[#This Row],[Base Price (USD)]]*Table1[[#This Row],[Sales Volume]]</f>
        <v>546000000</v>
      </c>
      <c r="L54" t="str" cm="1">
        <f t="array" ref="L54">_xlfn.IFS(
G54&gt;=900,"High HP",
G54&gt;=750,"Medium HP",
G54&lt;750,"Low HP")</f>
        <v>Medium HP</v>
      </c>
    </row>
    <row r="55" spans="1:12" x14ac:dyDescent="0.25">
      <c r="A55" t="s">
        <v>28</v>
      </c>
      <c r="B55">
        <v>2025</v>
      </c>
      <c r="C55" t="s">
        <v>16</v>
      </c>
      <c r="D55" t="s">
        <v>15</v>
      </c>
      <c r="E55" t="s">
        <v>25</v>
      </c>
      <c r="F55" s="6">
        <v>385000</v>
      </c>
      <c r="G55">
        <v>850</v>
      </c>
      <c r="H55">
        <v>1150</v>
      </c>
      <c r="I55" t="s">
        <v>13</v>
      </c>
      <c r="J55" t="str" cm="1">
        <f t="array" ref="J55">_xlfn.IFS(
F55&gt;520000,"High Price",
F55&gt;=350000,"Medium Price",
F55&lt;349000,"Low Price")</f>
        <v>Medium Price</v>
      </c>
      <c r="K55" s="6">
        <f>Table1[[#This Row],[Base Price (USD)]]*Table1[[#This Row],[Sales Volume]]</f>
        <v>442750000</v>
      </c>
      <c r="L55" t="str" cm="1">
        <f t="array" ref="L55">_xlfn.IFS(
G55&gt;=900,"High HP",
G55&gt;=750,"Medium HP",
G55&lt;750,"Low HP")</f>
        <v>Medium HP</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48851-ED67-4D95-A6FF-BF8EE7129A4E}">
  <dimension ref="A1:A165"/>
  <sheetViews>
    <sheetView workbookViewId="0">
      <selection activeCell="A144" sqref="A144"/>
    </sheetView>
  </sheetViews>
  <sheetFormatPr defaultRowHeight="15" x14ac:dyDescent="0.25"/>
  <cols>
    <col min="1" max="1" width="113.5703125" bestFit="1" customWidth="1"/>
  </cols>
  <sheetData>
    <row r="1" spans="1:1" ht="31.5" x14ac:dyDescent="0.25">
      <c r="A1" s="1" t="s">
        <v>30</v>
      </c>
    </row>
    <row r="3" spans="1:1" ht="24" x14ac:dyDescent="0.25">
      <c r="A3" s="2" t="s">
        <v>31</v>
      </c>
    </row>
    <row r="4" spans="1:1" ht="18" x14ac:dyDescent="0.25">
      <c r="A4" s="3" t="s">
        <v>32</v>
      </c>
    </row>
    <row r="5" spans="1:1" x14ac:dyDescent="0.25">
      <c r="A5" t="s">
        <v>33</v>
      </c>
    </row>
    <row r="6" spans="1:1" x14ac:dyDescent="0.25">
      <c r="A6" s="4" t="s">
        <v>34</v>
      </c>
    </row>
    <row r="7" spans="1:1" x14ac:dyDescent="0.25">
      <c r="A7" s="4" t="s">
        <v>35</v>
      </c>
    </row>
    <row r="8" spans="1:1" x14ac:dyDescent="0.25">
      <c r="A8" s="4" t="s">
        <v>36</v>
      </c>
    </row>
    <row r="9" spans="1:1" x14ac:dyDescent="0.25">
      <c r="A9" s="5" t="s">
        <v>37</v>
      </c>
    </row>
    <row r="10" spans="1:1" x14ac:dyDescent="0.25">
      <c r="A10" s="4" t="s">
        <v>38</v>
      </c>
    </row>
    <row r="12" spans="1:1" ht="18" x14ac:dyDescent="0.25">
      <c r="A12" s="3" t="s">
        <v>39</v>
      </c>
    </row>
    <row r="13" spans="1:1" x14ac:dyDescent="0.25">
      <c r="A13" t="s">
        <v>40</v>
      </c>
    </row>
    <row r="14" spans="1:1" x14ac:dyDescent="0.25">
      <c r="A14" s="4" t="s">
        <v>41</v>
      </c>
    </row>
    <row r="15" spans="1:1" x14ac:dyDescent="0.25">
      <c r="A15" s="4" t="s">
        <v>42</v>
      </c>
    </row>
    <row r="16" spans="1:1" x14ac:dyDescent="0.25">
      <c r="A16" s="4" t="s">
        <v>43</v>
      </c>
    </row>
    <row r="17" spans="1:1" x14ac:dyDescent="0.25">
      <c r="A17" s="4" t="s">
        <v>44</v>
      </c>
    </row>
    <row r="18" spans="1:1" x14ac:dyDescent="0.25">
      <c r="A18" s="5" t="s">
        <v>37</v>
      </c>
    </row>
    <row r="19" spans="1:1" x14ac:dyDescent="0.25">
      <c r="A19" s="4" t="s">
        <v>45</v>
      </c>
    </row>
    <row r="21" spans="1:1" ht="24" x14ac:dyDescent="0.25">
      <c r="A21" s="2" t="s">
        <v>46</v>
      </c>
    </row>
    <row r="22" spans="1:1" ht="18" x14ac:dyDescent="0.25">
      <c r="A22" s="3" t="s">
        <v>47</v>
      </c>
    </row>
    <row r="23" spans="1:1" x14ac:dyDescent="0.25">
      <c r="A23" t="s">
        <v>48</v>
      </c>
    </row>
    <row r="24" spans="1:1" x14ac:dyDescent="0.25">
      <c r="A24" s="4" t="s">
        <v>49</v>
      </c>
    </row>
    <row r="25" spans="1:1" x14ac:dyDescent="0.25">
      <c r="A25" s="5" t="s">
        <v>37</v>
      </c>
    </row>
    <row r="26" spans="1:1" x14ac:dyDescent="0.25">
      <c r="A26" s="4" t="s">
        <v>50</v>
      </c>
    </row>
    <row r="28" spans="1:1" ht="18" x14ac:dyDescent="0.25">
      <c r="A28" s="3" t="s">
        <v>51</v>
      </c>
    </row>
    <row r="29" spans="1:1" x14ac:dyDescent="0.25">
      <c r="A29" t="s">
        <v>52</v>
      </c>
    </row>
    <row r="30" spans="1:1" x14ac:dyDescent="0.25">
      <c r="A30" s="4" t="s">
        <v>53</v>
      </c>
    </row>
    <row r="31" spans="1:1" x14ac:dyDescent="0.25">
      <c r="A31" s="5" t="s">
        <v>37</v>
      </c>
    </row>
    <row r="32" spans="1:1" x14ac:dyDescent="0.25">
      <c r="A32" s="4" t="s">
        <v>54</v>
      </c>
    </row>
    <row r="34" spans="1:1" ht="18" x14ac:dyDescent="0.25">
      <c r="A34" s="3" t="s">
        <v>55</v>
      </c>
    </row>
    <row r="35" spans="1:1" x14ac:dyDescent="0.25">
      <c r="A35" t="s">
        <v>56</v>
      </c>
    </row>
    <row r="36" spans="1:1" x14ac:dyDescent="0.25">
      <c r="A36" s="4" t="s">
        <v>57</v>
      </c>
    </row>
    <row r="37" spans="1:1" x14ac:dyDescent="0.25">
      <c r="A37" s="5" t="s">
        <v>37</v>
      </c>
    </row>
    <row r="38" spans="1:1" x14ac:dyDescent="0.25">
      <c r="A38" s="4" t="s">
        <v>58</v>
      </c>
    </row>
    <row r="40" spans="1:1" ht="24" x14ac:dyDescent="0.25">
      <c r="A40" s="2" t="s">
        <v>59</v>
      </c>
    </row>
    <row r="41" spans="1:1" ht="18" x14ac:dyDescent="0.25">
      <c r="A41" s="3" t="s">
        <v>60</v>
      </c>
    </row>
    <row r="42" spans="1:1" x14ac:dyDescent="0.25">
      <c r="A42" t="s">
        <v>61</v>
      </c>
    </row>
    <row r="43" spans="1:1" x14ac:dyDescent="0.25">
      <c r="A43" s="4" t="s">
        <v>62</v>
      </c>
    </row>
    <row r="44" spans="1:1" x14ac:dyDescent="0.25">
      <c r="A44" t="s">
        <v>63</v>
      </c>
    </row>
    <row r="45" spans="1:1" x14ac:dyDescent="0.25">
      <c r="A45" s="4" t="s">
        <v>64</v>
      </c>
    </row>
    <row r="46" spans="1:1" x14ac:dyDescent="0.25">
      <c r="A46" s="4" t="s">
        <v>65</v>
      </c>
    </row>
    <row r="47" spans="1:1" x14ac:dyDescent="0.25">
      <c r="A47" s="4" t="s">
        <v>66</v>
      </c>
    </row>
    <row r="48" spans="1:1" x14ac:dyDescent="0.25">
      <c r="A48" s="4" t="s">
        <v>67</v>
      </c>
    </row>
    <row r="49" spans="1:1" x14ac:dyDescent="0.25">
      <c r="A49" s="5" t="s">
        <v>37</v>
      </c>
    </row>
    <row r="50" spans="1:1" x14ac:dyDescent="0.25">
      <c r="A50" s="4" t="s">
        <v>68</v>
      </c>
    </row>
    <row r="52" spans="1:1" ht="18" x14ac:dyDescent="0.25">
      <c r="A52" s="3" t="s">
        <v>69</v>
      </c>
    </row>
    <row r="53" spans="1:1" x14ac:dyDescent="0.25">
      <c r="A53" t="s">
        <v>52</v>
      </c>
    </row>
    <row r="54" spans="1:1" x14ac:dyDescent="0.25">
      <c r="A54" s="4" t="s">
        <v>70</v>
      </c>
    </row>
    <row r="55" spans="1:1" x14ac:dyDescent="0.25">
      <c r="A55" s="5" t="s">
        <v>37</v>
      </c>
    </row>
    <row r="56" spans="1:1" x14ac:dyDescent="0.25">
      <c r="A56" s="4" t="s">
        <v>71</v>
      </c>
    </row>
    <row r="58" spans="1:1" ht="18" x14ac:dyDescent="0.25">
      <c r="A58" s="3" t="s">
        <v>72</v>
      </c>
    </row>
    <row r="59" spans="1:1" x14ac:dyDescent="0.25">
      <c r="A59" t="s">
        <v>73</v>
      </c>
    </row>
    <row r="60" spans="1:1" x14ac:dyDescent="0.25">
      <c r="A60" s="5" t="s">
        <v>74</v>
      </c>
    </row>
    <row r="61" spans="1:1" x14ac:dyDescent="0.25">
      <c r="A61" t="s">
        <v>75</v>
      </c>
    </row>
    <row r="62" spans="1:1" x14ac:dyDescent="0.25">
      <c r="A62" s="4" t="s">
        <v>76</v>
      </c>
    </row>
    <row r="63" spans="1:1" x14ac:dyDescent="0.25">
      <c r="A63" s="4" t="s">
        <v>77</v>
      </c>
    </row>
    <row r="64" spans="1:1" x14ac:dyDescent="0.25">
      <c r="A64" s="5" t="s">
        <v>37</v>
      </c>
    </row>
    <row r="65" spans="1:1" x14ac:dyDescent="0.25">
      <c r="A65" s="4" t="s">
        <v>78</v>
      </c>
    </row>
    <row r="67" spans="1:1" ht="24" x14ac:dyDescent="0.25">
      <c r="A67" s="2" t="s">
        <v>79</v>
      </c>
    </row>
    <row r="68" spans="1:1" ht="18" x14ac:dyDescent="0.25">
      <c r="A68" s="3" t="s">
        <v>80</v>
      </c>
    </row>
    <row r="69" spans="1:1" x14ac:dyDescent="0.25">
      <c r="A69" t="s">
        <v>81</v>
      </c>
    </row>
    <row r="70" spans="1:1" x14ac:dyDescent="0.25">
      <c r="A70" t="s">
        <v>82</v>
      </c>
    </row>
    <row r="71" spans="1:1" x14ac:dyDescent="0.25">
      <c r="A71" s="4" t="s">
        <v>83</v>
      </c>
    </row>
    <row r="72" spans="1:1" x14ac:dyDescent="0.25">
      <c r="A72" s="4" t="s">
        <v>84</v>
      </c>
    </row>
    <row r="73" spans="1:1" x14ac:dyDescent="0.25">
      <c r="A73" s="4" t="s">
        <v>85</v>
      </c>
    </row>
    <row r="74" spans="1:1" x14ac:dyDescent="0.25">
      <c r="A74" s="4" t="s">
        <v>86</v>
      </c>
    </row>
    <row r="75" spans="1:1" x14ac:dyDescent="0.25">
      <c r="A75" s="5" t="s">
        <v>37</v>
      </c>
    </row>
    <row r="76" spans="1:1" x14ac:dyDescent="0.25">
      <c r="A76" s="4" t="s">
        <v>87</v>
      </c>
    </row>
    <row r="78" spans="1:1" ht="18" x14ac:dyDescent="0.25">
      <c r="A78" s="3" t="s">
        <v>88</v>
      </c>
    </row>
    <row r="79" spans="1:1" x14ac:dyDescent="0.25">
      <c r="A79" t="s">
        <v>89</v>
      </c>
    </row>
    <row r="80" spans="1:1" x14ac:dyDescent="0.25">
      <c r="A80" s="4" t="s">
        <v>90</v>
      </c>
    </row>
    <row r="81" spans="1:1" x14ac:dyDescent="0.25">
      <c r="A81" s="5" t="s">
        <v>37</v>
      </c>
    </row>
    <row r="82" spans="1:1" x14ac:dyDescent="0.25">
      <c r="A82" s="4" t="s">
        <v>91</v>
      </c>
    </row>
    <row r="84" spans="1:1" ht="18" x14ac:dyDescent="0.25">
      <c r="A84" s="3" t="s">
        <v>92</v>
      </c>
    </row>
    <row r="85" spans="1:1" x14ac:dyDescent="0.25">
      <c r="A85" t="s">
        <v>52</v>
      </c>
    </row>
    <row r="86" spans="1:1" x14ac:dyDescent="0.25">
      <c r="A86" s="4" t="s">
        <v>93</v>
      </c>
    </row>
    <row r="87" spans="1:1" x14ac:dyDescent="0.25">
      <c r="A87" s="5" t="s">
        <v>37</v>
      </c>
    </row>
    <row r="88" spans="1:1" x14ac:dyDescent="0.25">
      <c r="A88" s="4" t="s">
        <v>94</v>
      </c>
    </row>
    <row r="90" spans="1:1" ht="24" x14ac:dyDescent="0.25">
      <c r="A90" s="2" t="s">
        <v>95</v>
      </c>
    </row>
    <row r="91" spans="1:1" ht="18" x14ac:dyDescent="0.25">
      <c r="A91" s="3" t="s">
        <v>96</v>
      </c>
    </row>
    <row r="92" spans="1:1" x14ac:dyDescent="0.25">
      <c r="A92" t="s">
        <v>52</v>
      </c>
    </row>
    <row r="93" spans="1:1" x14ac:dyDescent="0.25">
      <c r="A93" s="4" t="s">
        <v>97</v>
      </c>
    </row>
    <row r="94" spans="1:1" x14ac:dyDescent="0.25">
      <c r="A94" s="5" t="s">
        <v>37</v>
      </c>
    </row>
    <row r="95" spans="1:1" x14ac:dyDescent="0.25">
      <c r="A95" s="4" t="s">
        <v>98</v>
      </c>
    </row>
    <row r="97" spans="1:1" ht="18" x14ac:dyDescent="0.25">
      <c r="A97" s="3" t="s">
        <v>99</v>
      </c>
    </row>
    <row r="98" spans="1:1" x14ac:dyDescent="0.25">
      <c r="A98" t="s">
        <v>52</v>
      </c>
    </row>
    <row r="99" spans="1:1" x14ac:dyDescent="0.25">
      <c r="A99" s="4" t="s">
        <v>100</v>
      </c>
    </row>
    <row r="100" spans="1:1" x14ac:dyDescent="0.25">
      <c r="A100" s="5" t="s">
        <v>37</v>
      </c>
    </row>
    <row r="101" spans="1:1" x14ac:dyDescent="0.25">
      <c r="A101" s="4"/>
    </row>
    <row r="102" spans="1:1" x14ac:dyDescent="0.25">
      <c r="A102" s="4" t="s">
        <v>101</v>
      </c>
    </row>
    <row r="104" spans="1:1" ht="24" x14ac:dyDescent="0.25">
      <c r="A104" s="2" t="s">
        <v>102</v>
      </c>
    </row>
    <row r="105" spans="1:1" ht="18" x14ac:dyDescent="0.25">
      <c r="A105" s="3" t="s">
        <v>155</v>
      </c>
    </row>
    <row r="106" spans="1:1" x14ac:dyDescent="0.25">
      <c r="A106" t="s">
        <v>103</v>
      </c>
    </row>
    <row r="107" spans="1:1" x14ac:dyDescent="0.25">
      <c r="A107" s="4" t="s">
        <v>104</v>
      </c>
    </row>
    <row r="108" spans="1:1" x14ac:dyDescent="0.25">
      <c r="A108" s="5" t="s">
        <v>37</v>
      </c>
    </row>
    <row r="109" spans="1:1" x14ac:dyDescent="0.25">
      <c r="A109" s="4" t="s">
        <v>105</v>
      </c>
    </row>
    <row r="111" spans="1:1" ht="18" x14ac:dyDescent="0.25">
      <c r="A111" s="3" t="s">
        <v>156</v>
      </c>
    </row>
    <row r="112" spans="1:1" x14ac:dyDescent="0.25">
      <c r="A112" t="s">
        <v>52</v>
      </c>
    </row>
    <row r="113" spans="1:1" x14ac:dyDescent="0.25">
      <c r="A113" s="4" t="s">
        <v>106</v>
      </c>
    </row>
    <row r="114" spans="1:1" x14ac:dyDescent="0.25">
      <c r="A114" s="5" t="s">
        <v>37</v>
      </c>
    </row>
    <row r="115" spans="1:1" x14ac:dyDescent="0.25">
      <c r="A115" s="4" t="s">
        <v>107</v>
      </c>
    </row>
    <row r="117" spans="1:1" ht="18" x14ac:dyDescent="0.25">
      <c r="A117" s="3" t="s">
        <v>157</v>
      </c>
    </row>
    <row r="118" spans="1:1" x14ac:dyDescent="0.25">
      <c r="A118" t="s">
        <v>108</v>
      </c>
    </row>
    <row r="119" spans="1:1" x14ac:dyDescent="0.25">
      <c r="A119" s="4" t="s">
        <v>109</v>
      </c>
    </row>
    <row r="120" spans="1:1" x14ac:dyDescent="0.25">
      <c r="A120" s="4" t="s">
        <v>110</v>
      </c>
    </row>
    <row r="121" spans="1:1" x14ac:dyDescent="0.25">
      <c r="A121" t="s">
        <v>111</v>
      </c>
    </row>
    <row r="122" spans="1:1" x14ac:dyDescent="0.25">
      <c r="A122" s="4" t="s">
        <v>7</v>
      </c>
    </row>
    <row r="123" spans="1:1" x14ac:dyDescent="0.25">
      <c r="A123" s="4" t="s">
        <v>112</v>
      </c>
    </row>
    <row r="124" spans="1:1" x14ac:dyDescent="0.25">
      <c r="A124" s="5" t="s">
        <v>37</v>
      </c>
    </row>
    <row r="125" spans="1:1" x14ac:dyDescent="0.25">
      <c r="A125" s="4" t="s">
        <v>113</v>
      </c>
    </row>
    <row r="127" spans="1:1" ht="24" x14ac:dyDescent="0.25">
      <c r="A127" s="2" t="s">
        <v>114</v>
      </c>
    </row>
    <row r="128" spans="1:1" ht="18" x14ac:dyDescent="0.25">
      <c r="A128" s="3" t="s">
        <v>158</v>
      </c>
    </row>
    <row r="129" spans="1:1" x14ac:dyDescent="0.25">
      <c r="A129" t="s">
        <v>115</v>
      </c>
    </row>
    <row r="130" spans="1:1" x14ac:dyDescent="0.25">
      <c r="A130" s="4" t="s">
        <v>116</v>
      </c>
    </row>
    <row r="131" spans="1:1" x14ac:dyDescent="0.25">
      <c r="A131" s="4" t="s">
        <v>117</v>
      </c>
    </row>
    <row r="132" spans="1:1" x14ac:dyDescent="0.25">
      <c r="A132" s="4" t="s">
        <v>112</v>
      </c>
    </row>
    <row r="133" spans="1:1" x14ac:dyDescent="0.25">
      <c r="A133" s="4" t="s">
        <v>118</v>
      </c>
    </row>
    <row r="134" spans="1:1" x14ac:dyDescent="0.25">
      <c r="A134" s="4" t="s">
        <v>119</v>
      </c>
    </row>
    <row r="135" spans="1:1" x14ac:dyDescent="0.25">
      <c r="A135" s="4" t="s">
        <v>120</v>
      </c>
    </row>
    <row r="136" spans="1:1" x14ac:dyDescent="0.25">
      <c r="A136" s="4" t="s">
        <v>121</v>
      </c>
    </row>
    <row r="138" spans="1:1" ht="18" x14ac:dyDescent="0.25">
      <c r="A138" s="3" t="s">
        <v>159</v>
      </c>
    </row>
    <row r="139" spans="1:1" x14ac:dyDescent="0.25">
      <c r="A139" t="s">
        <v>122</v>
      </c>
    </row>
    <row r="140" spans="1:1" x14ac:dyDescent="0.25">
      <c r="A140" s="4" t="s">
        <v>116</v>
      </c>
    </row>
    <row r="141" spans="1:1" x14ac:dyDescent="0.25">
      <c r="A141" s="4" t="s">
        <v>117</v>
      </c>
    </row>
    <row r="142" spans="1:1" x14ac:dyDescent="0.25">
      <c r="A142" s="4" t="s">
        <v>112</v>
      </c>
    </row>
    <row r="143" spans="1:1" x14ac:dyDescent="0.25">
      <c r="A143" s="4" t="s">
        <v>118</v>
      </c>
    </row>
    <row r="144" spans="1:1" x14ac:dyDescent="0.25">
      <c r="A144" s="4" t="s">
        <v>123</v>
      </c>
    </row>
    <row r="145" spans="1:1" x14ac:dyDescent="0.25">
      <c r="A145" s="4" t="s">
        <v>124</v>
      </c>
    </row>
    <row r="146" spans="1:1" x14ac:dyDescent="0.25">
      <c r="A146" s="4" t="s">
        <v>125</v>
      </c>
    </row>
    <row r="148" spans="1:1" ht="24" x14ac:dyDescent="0.25">
      <c r="A148" s="2" t="s">
        <v>126</v>
      </c>
    </row>
    <row r="149" spans="1:1" ht="18" x14ac:dyDescent="0.25">
      <c r="A149" s="3" t="s">
        <v>160</v>
      </c>
    </row>
    <row r="150" spans="1:1" x14ac:dyDescent="0.25">
      <c r="A150" t="s">
        <v>111</v>
      </c>
    </row>
    <row r="151" spans="1:1" x14ac:dyDescent="0.25">
      <c r="A151" s="4" t="s">
        <v>127</v>
      </c>
    </row>
    <row r="152" spans="1:1" x14ac:dyDescent="0.25">
      <c r="A152" s="4" t="s">
        <v>6</v>
      </c>
    </row>
    <row r="153" spans="1:1" x14ac:dyDescent="0.25">
      <c r="A153" s="4" t="s">
        <v>4</v>
      </c>
    </row>
    <row r="154" spans="1:1" x14ac:dyDescent="0.25">
      <c r="A154" s="4" t="s">
        <v>128</v>
      </c>
    </row>
    <row r="155" spans="1:1" x14ac:dyDescent="0.25">
      <c r="A155" s="4" t="s">
        <v>7</v>
      </c>
    </row>
    <row r="156" spans="1:1" x14ac:dyDescent="0.25">
      <c r="A156" s="5" t="s">
        <v>37</v>
      </c>
    </row>
    <row r="157" spans="1:1" x14ac:dyDescent="0.25">
      <c r="A157" s="4" t="s">
        <v>129</v>
      </c>
    </row>
    <row r="159" spans="1:1" ht="24" x14ac:dyDescent="0.25">
      <c r="A159" s="2" t="s">
        <v>130</v>
      </c>
    </row>
    <row r="160" spans="1:1" x14ac:dyDescent="0.25">
      <c r="A160" t="s">
        <v>131</v>
      </c>
    </row>
    <row r="161" spans="1:1" x14ac:dyDescent="0.25">
      <c r="A161" t="s">
        <v>132</v>
      </c>
    </row>
    <row r="162" spans="1:1" x14ac:dyDescent="0.25">
      <c r="A162" t="s">
        <v>133</v>
      </c>
    </row>
    <row r="163" spans="1:1" x14ac:dyDescent="0.25">
      <c r="A163" t="s">
        <v>134</v>
      </c>
    </row>
    <row r="164" spans="1:1" x14ac:dyDescent="0.25">
      <c r="A164" t="s">
        <v>135</v>
      </c>
    </row>
    <row r="165" spans="1:1" x14ac:dyDescent="0.25">
      <c r="A165" t="s">
        <v>136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31F98-D667-4135-800F-3F886C63B521}">
  <dimension ref="A1:Y36"/>
  <sheetViews>
    <sheetView showGridLines="0" tabSelected="1" zoomScaleNormal="100" workbookViewId="0">
      <selection activeCell="Q39" sqref="Q39"/>
    </sheetView>
  </sheetViews>
  <sheetFormatPr defaultRowHeight="15" x14ac:dyDescent="0.25"/>
  <cols>
    <col min="20" max="21" width="9.140625" customWidth="1"/>
    <col min="24" max="24" width="25.5703125" hidden="1" customWidth="1"/>
    <col min="25" max="25" width="14.85546875" hidden="1" customWidth="1"/>
  </cols>
  <sheetData>
    <row r="1" spans="1:25" x14ac:dyDescent="0.25">
      <c r="A1" s="17"/>
      <c r="B1" s="17"/>
      <c r="C1" s="17"/>
      <c r="D1" s="17"/>
      <c r="E1" s="17"/>
      <c r="F1" s="17"/>
      <c r="G1" s="17"/>
      <c r="H1" s="17"/>
      <c r="I1" s="17"/>
      <c r="J1" s="17"/>
      <c r="K1" s="17"/>
      <c r="L1" s="17"/>
      <c r="M1" s="17"/>
      <c r="N1" s="17"/>
      <c r="O1" s="17"/>
      <c r="P1" s="17"/>
      <c r="Q1" s="17"/>
      <c r="R1" s="17"/>
      <c r="S1" s="17"/>
      <c r="T1" s="17"/>
      <c r="U1" s="17"/>
    </row>
    <row r="2" spans="1:25" x14ac:dyDescent="0.25">
      <c r="A2" s="17"/>
      <c r="B2" s="17"/>
      <c r="C2" s="17"/>
      <c r="D2" s="17"/>
      <c r="E2" s="17"/>
      <c r="F2" s="17"/>
      <c r="G2" s="17"/>
      <c r="H2" s="17"/>
      <c r="I2" s="17"/>
      <c r="J2" s="17"/>
      <c r="K2" s="17"/>
      <c r="L2" s="17"/>
      <c r="M2" s="17"/>
      <c r="N2" s="17"/>
      <c r="O2" s="17"/>
      <c r="P2" s="17"/>
      <c r="Q2" s="17"/>
      <c r="R2" s="17"/>
      <c r="S2" s="17"/>
      <c r="T2" s="17"/>
      <c r="U2" s="17"/>
    </row>
    <row r="3" spans="1:25" x14ac:dyDescent="0.25">
      <c r="A3" s="17"/>
      <c r="B3" s="17"/>
      <c r="C3" s="17"/>
      <c r="D3" s="17"/>
      <c r="E3" s="17"/>
      <c r="F3" s="17"/>
      <c r="G3" s="17"/>
      <c r="H3" s="17"/>
      <c r="I3" s="17"/>
      <c r="J3" s="17"/>
      <c r="K3" s="17"/>
      <c r="L3" s="17"/>
      <c r="M3" s="17"/>
      <c r="N3" s="17"/>
      <c r="O3" s="17"/>
      <c r="P3" s="17"/>
      <c r="Q3" s="17"/>
      <c r="R3" s="17"/>
      <c r="S3" s="17"/>
      <c r="T3" s="17"/>
      <c r="U3" s="17"/>
    </row>
    <row r="4" spans="1:25" x14ac:dyDescent="0.25">
      <c r="A4" s="17"/>
      <c r="B4" s="17"/>
      <c r="C4" s="17"/>
      <c r="D4" s="17"/>
      <c r="E4" s="17"/>
      <c r="F4" s="17"/>
      <c r="G4" s="17"/>
      <c r="H4" s="17"/>
      <c r="I4" s="17"/>
      <c r="J4" s="17"/>
      <c r="K4" s="17"/>
      <c r="L4" s="17"/>
      <c r="M4" s="17"/>
      <c r="N4" s="17"/>
      <c r="O4" s="17"/>
      <c r="P4" s="17"/>
      <c r="Q4" s="17"/>
      <c r="R4" s="17"/>
      <c r="S4" s="17"/>
      <c r="T4" s="17"/>
      <c r="U4" s="17"/>
    </row>
    <row r="5" spans="1:25" x14ac:dyDescent="0.25">
      <c r="A5" s="17"/>
      <c r="B5" s="17"/>
      <c r="C5" s="17"/>
      <c r="D5" s="17"/>
      <c r="E5" s="17"/>
      <c r="F5" s="17"/>
      <c r="G5" s="17"/>
      <c r="H5" s="17"/>
      <c r="I5" s="17"/>
      <c r="J5" s="17"/>
      <c r="K5" s="17"/>
      <c r="L5" s="17"/>
      <c r="M5" s="17"/>
      <c r="N5" s="17"/>
      <c r="O5" s="17"/>
      <c r="P5" s="17"/>
      <c r="Q5" s="17"/>
      <c r="R5" s="17"/>
      <c r="S5" s="17"/>
      <c r="T5" s="17"/>
      <c r="U5" s="17"/>
    </row>
    <row r="6" spans="1:25" x14ac:dyDescent="0.25">
      <c r="A6" s="17"/>
      <c r="B6" s="17"/>
      <c r="C6" s="17"/>
      <c r="D6" s="17"/>
      <c r="E6" s="17"/>
      <c r="F6" s="17"/>
      <c r="G6" s="17"/>
      <c r="H6" s="17"/>
      <c r="I6" s="17"/>
      <c r="J6" s="17"/>
      <c r="K6" s="17"/>
      <c r="L6" s="17"/>
      <c r="M6" s="17"/>
      <c r="N6" s="17"/>
      <c r="O6" s="17"/>
      <c r="P6" s="17"/>
      <c r="Q6" s="17"/>
      <c r="R6" s="17"/>
      <c r="S6" s="17"/>
      <c r="T6" s="17"/>
      <c r="U6" s="17"/>
    </row>
    <row r="7" spans="1:25" x14ac:dyDescent="0.25">
      <c r="A7" s="17"/>
      <c r="B7" s="17"/>
      <c r="C7" s="17"/>
      <c r="D7" s="17"/>
      <c r="E7" s="17"/>
      <c r="F7" s="17"/>
      <c r="G7" s="17"/>
      <c r="H7" s="17"/>
      <c r="I7" s="17"/>
      <c r="J7" s="17"/>
      <c r="K7" s="17"/>
      <c r="L7" s="17"/>
      <c r="M7" s="17"/>
      <c r="N7" s="17"/>
      <c r="O7" s="17"/>
      <c r="P7" s="17"/>
      <c r="Q7" s="17"/>
      <c r="R7" s="17"/>
      <c r="S7" s="17"/>
      <c r="T7" s="17"/>
      <c r="U7" s="17"/>
      <c r="X7" s="12"/>
    </row>
    <row r="8" spans="1:25" x14ac:dyDescent="0.25">
      <c r="A8" s="17"/>
      <c r="B8" s="17"/>
      <c r="C8" s="17"/>
      <c r="D8" s="17"/>
      <c r="E8" s="17"/>
      <c r="F8" s="17"/>
      <c r="G8" s="17"/>
      <c r="H8" s="17"/>
      <c r="I8" s="17"/>
      <c r="J8" s="17"/>
      <c r="K8" s="17"/>
      <c r="L8" s="17"/>
      <c r="M8" s="17"/>
      <c r="N8" s="17"/>
      <c r="O8" s="17"/>
      <c r="P8" s="17"/>
      <c r="Q8" s="17"/>
      <c r="R8" s="17"/>
      <c r="S8" s="17"/>
      <c r="T8" s="17"/>
      <c r="U8" s="17"/>
    </row>
    <row r="9" spans="1:25" x14ac:dyDescent="0.25">
      <c r="A9" s="17"/>
      <c r="B9" s="17"/>
      <c r="C9" s="17"/>
      <c r="D9" s="17"/>
      <c r="E9" s="17"/>
      <c r="F9" s="17"/>
      <c r="G9" s="17"/>
      <c r="H9" s="17"/>
      <c r="I9" s="17"/>
      <c r="J9" s="17"/>
      <c r="K9" s="17"/>
      <c r="L9" s="17"/>
      <c r="M9" s="17"/>
      <c r="N9" s="17"/>
      <c r="O9" s="17"/>
      <c r="P9" s="17"/>
      <c r="Q9" s="17"/>
      <c r="R9" s="17"/>
      <c r="S9" s="17"/>
      <c r="T9" s="17"/>
      <c r="U9" s="17"/>
    </row>
    <row r="10" spans="1:25" x14ac:dyDescent="0.25">
      <c r="A10" s="17"/>
      <c r="B10" s="17"/>
      <c r="C10" s="17"/>
      <c r="D10" s="17"/>
      <c r="E10" s="17"/>
      <c r="F10" s="17"/>
      <c r="G10" s="17"/>
      <c r="H10" s="17"/>
      <c r="I10" s="17"/>
      <c r="J10" s="17"/>
      <c r="K10" s="17"/>
      <c r="L10" s="17"/>
      <c r="M10" s="17"/>
      <c r="N10" s="17"/>
      <c r="O10" s="17"/>
      <c r="P10" s="17"/>
      <c r="Q10" s="17"/>
      <c r="R10" s="17"/>
      <c r="S10" s="17"/>
      <c r="T10" s="17"/>
      <c r="U10" s="17"/>
    </row>
    <row r="11" spans="1:25" x14ac:dyDescent="0.25">
      <c r="A11" s="17"/>
      <c r="B11" s="17"/>
      <c r="C11" s="17"/>
      <c r="D11" s="17"/>
      <c r="E11" s="17"/>
      <c r="F11" s="17"/>
      <c r="G11" s="17"/>
      <c r="H11" s="17"/>
      <c r="I11" s="17"/>
      <c r="J11" s="17"/>
      <c r="K11" s="17"/>
      <c r="L11" s="17"/>
      <c r="M11" s="17"/>
      <c r="N11" s="17"/>
      <c r="O11" s="17"/>
      <c r="P11" s="17"/>
      <c r="Q11" s="17"/>
      <c r="R11" s="17"/>
      <c r="S11" s="17"/>
      <c r="T11" s="17"/>
      <c r="U11" s="17"/>
    </row>
    <row r="12" spans="1:25" x14ac:dyDescent="0.25">
      <c r="A12" s="17"/>
      <c r="B12" s="17"/>
      <c r="C12" s="17"/>
      <c r="D12" s="17"/>
      <c r="E12" s="17"/>
      <c r="F12" s="17"/>
      <c r="G12" s="17"/>
      <c r="H12" s="17"/>
      <c r="I12" s="17"/>
      <c r="J12" s="17"/>
      <c r="K12" s="17"/>
      <c r="L12" s="17"/>
      <c r="M12" s="17"/>
      <c r="N12" s="17"/>
      <c r="O12" s="17"/>
      <c r="P12" s="17"/>
      <c r="Q12" s="17"/>
      <c r="R12" s="17"/>
      <c r="S12" s="17"/>
      <c r="T12" s="17"/>
      <c r="U12" s="17"/>
      <c r="X12" t="s">
        <v>137</v>
      </c>
      <c r="Y12">
        <f>GETPIVOTDATA("Model",Pivot!$A$3)</f>
        <v>54</v>
      </c>
    </row>
    <row r="13" spans="1:25" x14ac:dyDescent="0.25">
      <c r="A13" s="17"/>
      <c r="B13" s="17"/>
      <c r="C13" s="17"/>
      <c r="D13" s="17"/>
      <c r="E13" s="17"/>
      <c r="F13" s="17"/>
      <c r="G13" s="17"/>
      <c r="H13" s="17"/>
      <c r="I13" s="17"/>
      <c r="J13" s="17"/>
      <c r="K13" s="17"/>
      <c r="L13" s="17"/>
      <c r="M13" s="17"/>
      <c r="N13" s="17"/>
      <c r="O13" s="17"/>
      <c r="P13" s="17"/>
      <c r="Q13" s="17"/>
      <c r="R13" s="17"/>
      <c r="S13" s="17"/>
      <c r="T13" s="17"/>
      <c r="U13" s="17"/>
      <c r="X13" t="s">
        <v>140</v>
      </c>
      <c r="Y13" s="16">
        <f>GETPIVOTDATA("Sales Volume",Pivot!$B$3)</f>
        <v>141374</v>
      </c>
    </row>
    <row r="14" spans="1:25" x14ac:dyDescent="0.25">
      <c r="A14" s="17"/>
      <c r="B14" s="17"/>
      <c r="C14" s="17"/>
      <c r="D14" s="17"/>
      <c r="E14" s="17"/>
      <c r="F14" s="17"/>
      <c r="G14" s="17"/>
      <c r="H14" s="17"/>
      <c r="I14" s="17"/>
      <c r="J14" s="17"/>
      <c r="K14" s="17"/>
      <c r="L14" s="17"/>
      <c r="M14" s="17"/>
      <c r="N14" s="17"/>
      <c r="O14" s="17"/>
      <c r="P14" s="17"/>
      <c r="Q14" s="17"/>
      <c r="R14" s="17"/>
      <c r="S14" s="17"/>
      <c r="T14" s="17"/>
      <c r="U14" s="17"/>
      <c r="X14" t="s">
        <v>139</v>
      </c>
      <c r="Y14" s="6">
        <f>GETPIVOTDATA("Base Price (USD)",Pivot!$C$3)</f>
        <v>374722.22222222225</v>
      </c>
    </row>
    <row r="15" spans="1:25" x14ac:dyDescent="0.25">
      <c r="A15" s="17"/>
      <c r="B15" s="17"/>
      <c r="C15" s="17"/>
      <c r="D15" s="17"/>
      <c r="E15" s="17"/>
      <c r="F15" s="17"/>
      <c r="G15" s="17"/>
      <c r="H15" s="17"/>
      <c r="I15" s="17"/>
      <c r="J15" s="17"/>
      <c r="K15" s="17"/>
      <c r="L15" s="17"/>
      <c r="M15" s="17"/>
      <c r="N15" s="17"/>
      <c r="O15" s="17"/>
      <c r="P15" s="17"/>
      <c r="Q15" s="17"/>
      <c r="R15" s="17"/>
      <c r="S15" s="17"/>
      <c r="T15" s="17"/>
      <c r="U15" s="17"/>
      <c r="X15" t="s">
        <v>149</v>
      </c>
      <c r="Y15" s="13">
        <f>GETPIVOTDATA("Revenue",Pivot!$D$3)</f>
        <v>43189580000</v>
      </c>
    </row>
    <row r="16" spans="1:25" x14ac:dyDescent="0.25">
      <c r="A16" s="17"/>
      <c r="B16" s="17"/>
      <c r="C16" s="17"/>
      <c r="D16" s="17"/>
      <c r="E16" s="17"/>
      <c r="F16" s="17"/>
      <c r="G16" s="17"/>
      <c r="H16" s="17"/>
      <c r="I16" s="17"/>
      <c r="J16" s="17"/>
      <c r="K16" s="17"/>
      <c r="L16" s="17"/>
      <c r="M16" s="17"/>
      <c r="N16" s="17"/>
      <c r="O16" s="17"/>
      <c r="P16" s="17"/>
      <c r="Q16" s="17"/>
      <c r="R16" s="17"/>
      <c r="S16" s="17"/>
      <c r="T16" s="17"/>
      <c r="U16" s="17"/>
      <c r="X16" t="s">
        <v>161</v>
      </c>
      <c r="Y16" s="15">
        <f>GETPIVOTDATA("Horsepower",Pivot!$E$3)</f>
        <v>718.27777777777783</v>
      </c>
    </row>
    <row r="17" spans="1:25" x14ac:dyDescent="0.25">
      <c r="A17" s="17"/>
      <c r="B17" s="17"/>
      <c r="C17" s="17"/>
      <c r="D17" s="17"/>
      <c r="E17" s="17"/>
      <c r="F17" s="17"/>
      <c r="G17" s="17"/>
      <c r="H17" s="17"/>
      <c r="I17" s="17"/>
      <c r="J17" s="17"/>
      <c r="K17" s="17"/>
      <c r="L17" s="17"/>
      <c r="M17" s="17"/>
      <c r="N17" s="17"/>
      <c r="O17" s="17"/>
      <c r="P17" s="17"/>
      <c r="Q17" s="17"/>
      <c r="R17" s="17"/>
      <c r="S17" s="17"/>
      <c r="T17" s="17"/>
      <c r="U17" s="17"/>
    </row>
    <row r="18" spans="1:25" x14ac:dyDescent="0.25">
      <c r="A18" s="17"/>
      <c r="B18" s="17"/>
      <c r="C18" s="17"/>
      <c r="D18" s="17"/>
      <c r="E18" s="17"/>
      <c r="F18" s="17"/>
      <c r="G18" s="17"/>
      <c r="H18" s="17"/>
      <c r="I18" s="17"/>
      <c r="J18" s="17"/>
      <c r="K18" s="17"/>
      <c r="L18" s="17"/>
      <c r="M18" s="17"/>
      <c r="N18" s="17"/>
      <c r="O18" s="17"/>
      <c r="P18" s="17"/>
      <c r="Q18" s="17"/>
      <c r="R18" s="17"/>
      <c r="S18" s="17"/>
      <c r="T18" s="17"/>
      <c r="U18" s="17"/>
    </row>
    <row r="19" spans="1:25" x14ac:dyDescent="0.25">
      <c r="A19" s="17"/>
      <c r="B19" s="17"/>
      <c r="C19" s="17"/>
      <c r="D19" s="17"/>
      <c r="E19" s="17"/>
      <c r="F19" s="17"/>
      <c r="G19" s="17"/>
      <c r="H19" s="17"/>
      <c r="I19" s="17"/>
      <c r="J19" s="17"/>
      <c r="K19" s="17"/>
      <c r="L19" s="17"/>
      <c r="M19" s="17"/>
      <c r="N19" s="17"/>
      <c r="O19" s="17"/>
      <c r="P19" s="17"/>
      <c r="Q19" s="17"/>
      <c r="R19" s="17"/>
      <c r="S19" s="17"/>
      <c r="T19" s="17"/>
      <c r="U19" s="17"/>
      <c r="X19" s="14" t="s">
        <v>163</v>
      </c>
      <c r="Y19" s="16">
        <f>GETPIVOTDATA("Sales Volume",Pivot!$F$9)</f>
        <v>141374</v>
      </c>
    </row>
    <row r="20" spans="1:25" x14ac:dyDescent="0.25">
      <c r="A20" s="17"/>
      <c r="B20" s="17"/>
      <c r="C20" s="17"/>
      <c r="D20" s="17"/>
      <c r="E20" s="17"/>
      <c r="F20" s="17"/>
      <c r="G20" s="17"/>
      <c r="H20" s="17"/>
      <c r="I20" s="17"/>
      <c r="J20" s="17"/>
      <c r="K20" s="17"/>
      <c r="L20" s="17"/>
      <c r="M20" s="17"/>
      <c r="N20" s="17"/>
      <c r="O20" s="17"/>
      <c r="P20" s="17"/>
      <c r="Q20" s="17"/>
      <c r="R20" s="17"/>
      <c r="S20" s="17"/>
      <c r="T20" s="17"/>
      <c r="U20" s="17"/>
    </row>
    <row r="21" spans="1:25" x14ac:dyDescent="0.25">
      <c r="A21" s="17"/>
      <c r="B21" s="17"/>
      <c r="C21" s="17"/>
      <c r="D21" s="17"/>
      <c r="E21" s="17"/>
      <c r="F21" s="17"/>
      <c r="G21" s="17"/>
      <c r="H21" s="17"/>
      <c r="I21" s="17"/>
      <c r="J21" s="17"/>
      <c r="K21" s="17"/>
      <c r="L21" s="17"/>
      <c r="M21" s="17"/>
      <c r="N21" s="17"/>
      <c r="O21" s="17"/>
      <c r="P21" s="17"/>
      <c r="Q21" s="17"/>
      <c r="R21" s="17"/>
      <c r="S21" s="17"/>
      <c r="T21" s="17"/>
      <c r="U21" s="17"/>
    </row>
    <row r="22" spans="1:25" x14ac:dyDescent="0.25">
      <c r="A22" s="17"/>
      <c r="B22" s="17"/>
      <c r="C22" s="17"/>
      <c r="D22" s="17"/>
      <c r="E22" s="17"/>
      <c r="F22" s="17"/>
      <c r="G22" s="17"/>
      <c r="H22" s="17"/>
      <c r="I22" s="17"/>
      <c r="J22" s="17"/>
      <c r="K22" s="17"/>
      <c r="L22" s="17"/>
      <c r="M22" s="17"/>
      <c r="N22" s="17"/>
      <c r="O22" s="17"/>
      <c r="P22" s="17"/>
      <c r="Q22" s="17"/>
      <c r="R22" s="17"/>
      <c r="S22" s="17"/>
      <c r="T22" s="17"/>
      <c r="U22" s="17"/>
    </row>
    <row r="23" spans="1:25" x14ac:dyDescent="0.25">
      <c r="A23" s="17"/>
      <c r="B23" s="17"/>
      <c r="C23" s="17"/>
      <c r="D23" s="17"/>
      <c r="E23" s="17"/>
      <c r="F23" s="17"/>
      <c r="G23" s="17"/>
      <c r="H23" s="17"/>
      <c r="I23" s="17"/>
      <c r="J23" s="17"/>
      <c r="K23" s="17"/>
      <c r="L23" s="17"/>
      <c r="M23" s="17"/>
      <c r="N23" s="17"/>
      <c r="O23" s="17"/>
      <c r="P23" s="17"/>
      <c r="Q23" s="17"/>
      <c r="R23" s="17"/>
      <c r="S23" s="17"/>
      <c r="T23" s="17"/>
      <c r="U23" s="17"/>
    </row>
    <row r="24" spans="1:25" x14ac:dyDescent="0.25">
      <c r="A24" s="17"/>
      <c r="B24" s="17"/>
      <c r="C24" s="17"/>
      <c r="D24" s="17"/>
      <c r="E24" s="17"/>
      <c r="F24" s="17"/>
      <c r="G24" s="17"/>
      <c r="H24" s="17"/>
      <c r="I24" s="17"/>
      <c r="J24" s="17"/>
      <c r="K24" s="17"/>
      <c r="L24" s="17"/>
      <c r="M24" s="17"/>
      <c r="N24" s="17"/>
      <c r="O24" s="17"/>
      <c r="P24" s="17"/>
      <c r="Q24" s="17"/>
      <c r="R24" s="17"/>
      <c r="S24" s="17"/>
      <c r="T24" s="17"/>
      <c r="U24" s="17"/>
    </row>
    <row r="25" spans="1:25" x14ac:dyDescent="0.25">
      <c r="A25" s="17"/>
      <c r="B25" s="17"/>
      <c r="C25" s="17"/>
      <c r="D25" s="17"/>
      <c r="E25" s="17"/>
      <c r="F25" s="17"/>
      <c r="G25" s="17"/>
      <c r="H25" s="17"/>
      <c r="I25" s="17"/>
      <c r="J25" s="17"/>
      <c r="K25" s="17"/>
      <c r="L25" s="17"/>
      <c r="M25" s="17"/>
      <c r="N25" s="17"/>
      <c r="O25" s="17"/>
      <c r="P25" s="17"/>
      <c r="Q25" s="17"/>
      <c r="R25" s="17"/>
      <c r="S25" s="17"/>
      <c r="T25" s="17"/>
      <c r="U25" s="17"/>
      <c r="X25" s="4" t="s">
        <v>151</v>
      </c>
    </row>
    <row r="26" spans="1:25" x14ac:dyDescent="0.25">
      <c r="A26" s="17"/>
      <c r="B26" s="17"/>
      <c r="C26" s="17"/>
      <c r="D26" s="17"/>
      <c r="E26" s="17"/>
      <c r="F26" s="17"/>
      <c r="G26" s="17"/>
      <c r="H26" s="17"/>
      <c r="I26" s="17"/>
      <c r="J26" s="17"/>
      <c r="K26" s="17"/>
      <c r="L26" s="17"/>
      <c r="M26" s="17"/>
      <c r="N26" s="17"/>
      <c r="O26" s="17"/>
      <c r="P26" s="17"/>
      <c r="Q26" s="17"/>
      <c r="R26" s="17"/>
      <c r="S26" s="17"/>
      <c r="T26" s="17"/>
      <c r="U26" s="17"/>
      <c r="X26" t="s">
        <v>140</v>
      </c>
      <c r="Y26">
        <f>GETPIVOTDATA("Sum of Sales Volume",Pivot!$K$117)</f>
        <v>8956</v>
      </c>
    </row>
    <row r="27" spans="1:25" x14ac:dyDescent="0.25">
      <c r="A27" s="17"/>
      <c r="B27" s="17"/>
      <c r="C27" s="17"/>
      <c r="D27" s="17"/>
      <c r="E27" s="17"/>
      <c r="F27" s="17"/>
      <c r="G27" s="17"/>
      <c r="H27" s="17"/>
      <c r="I27" s="17"/>
      <c r="J27" s="17"/>
      <c r="K27" s="17"/>
      <c r="L27" s="17"/>
      <c r="M27" s="17"/>
      <c r="N27" s="17"/>
      <c r="O27" s="17"/>
      <c r="P27" s="17"/>
      <c r="Q27" s="17"/>
      <c r="R27" s="17"/>
      <c r="S27" s="17"/>
      <c r="T27" s="17"/>
      <c r="U27" s="17"/>
      <c r="X27" t="s">
        <v>139</v>
      </c>
      <c r="Y27" s="6">
        <f>GETPIVOTDATA("Average of Base Price (USD)",Pivot!$K$117)</f>
        <v>535000</v>
      </c>
    </row>
    <row r="28" spans="1:25" x14ac:dyDescent="0.25">
      <c r="A28" s="17"/>
      <c r="B28" s="17"/>
      <c r="C28" s="17"/>
      <c r="D28" s="17"/>
      <c r="E28" s="17"/>
      <c r="F28" s="17"/>
      <c r="G28" s="17"/>
      <c r="H28" s="17"/>
      <c r="I28" s="17"/>
      <c r="J28" s="17"/>
      <c r="K28" s="17"/>
      <c r="L28" s="17"/>
      <c r="M28" s="17"/>
      <c r="N28" s="17"/>
      <c r="O28" s="17"/>
      <c r="P28" s="17"/>
      <c r="Q28" s="17"/>
      <c r="R28" s="17"/>
      <c r="S28" s="17"/>
      <c r="T28" s="17"/>
      <c r="U28" s="17"/>
    </row>
    <row r="29" spans="1:25" x14ac:dyDescent="0.25">
      <c r="A29" s="17"/>
      <c r="B29" s="17"/>
      <c r="C29" s="17"/>
      <c r="D29" s="17"/>
      <c r="E29" s="17"/>
      <c r="F29" s="17"/>
      <c r="G29" s="17"/>
      <c r="H29" s="17"/>
      <c r="I29" s="17"/>
      <c r="J29" s="17"/>
      <c r="K29" s="17"/>
      <c r="L29" s="17"/>
      <c r="M29" s="17"/>
      <c r="N29" s="17"/>
      <c r="O29" s="17"/>
      <c r="P29" s="17"/>
      <c r="Q29" s="17"/>
      <c r="R29" s="17"/>
      <c r="S29" s="17"/>
      <c r="T29" s="17"/>
      <c r="U29" s="17"/>
    </row>
    <row r="30" spans="1:25" x14ac:dyDescent="0.25">
      <c r="A30" s="17"/>
      <c r="B30" s="17"/>
      <c r="C30" s="17"/>
      <c r="D30" s="17"/>
      <c r="E30" s="17"/>
      <c r="F30" s="17"/>
      <c r="G30" s="17"/>
      <c r="H30" s="17"/>
      <c r="I30" s="17"/>
      <c r="J30" s="17"/>
      <c r="K30" s="17"/>
      <c r="L30" s="17"/>
      <c r="M30" s="17"/>
      <c r="N30" s="17"/>
      <c r="O30" s="17"/>
      <c r="P30" s="17"/>
      <c r="Q30" s="17"/>
      <c r="R30" s="17"/>
      <c r="S30" s="17"/>
      <c r="T30" s="17"/>
      <c r="U30" s="17"/>
      <c r="X30" t="s">
        <v>123</v>
      </c>
      <c r="Y30" t="str">
        <f>Pivot!I148</f>
        <v>Urus</v>
      </c>
    </row>
    <row r="31" spans="1:25" x14ac:dyDescent="0.25">
      <c r="A31" s="17"/>
      <c r="B31" s="17"/>
      <c r="C31" s="17"/>
      <c r="D31" s="17"/>
      <c r="E31" s="17"/>
      <c r="F31" s="17"/>
      <c r="G31" s="17"/>
      <c r="H31" s="17"/>
      <c r="I31" s="17"/>
      <c r="J31" s="17"/>
      <c r="K31" s="17"/>
      <c r="L31" s="17"/>
      <c r="M31" s="17"/>
      <c r="N31" s="17"/>
      <c r="O31" s="17"/>
      <c r="P31" s="17"/>
      <c r="Q31" s="17"/>
      <c r="R31" s="17"/>
      <c r="S31" s="17"/>
      <c r="T31" s="17"/>
      <c r="U31" s="17"/>
      <c r="X31" s="11" t="s">
        <v>125</v>
      </c>
      <c r="Y31" t="str">
        <f>Pivot!C148</f>
        <v>Americas</v>
      </c>
    </row>
    <row r="32" spans="1:25" x14ac:dyDescent="0.25">
      <c r="A32" s="17"/>
      <c r="B32" s="17"/>
      <c r="C32" s="17"/>
      <c r="D32" s="17"/>
      <c r="E32" s="17"/>
      <c r="F32" s="17"/>
      <c r="G32" s="17"/>
      <c r="H32" s="17"/>
      <c r="I32" s="17"/>
      <c r="J32" s="17"/>
      <c r="K32" s="17"/>
      <c r="L32" s="17"/>
      <c r="M32" s="17"/>
      <c r="N32" s="17"/>
      <c r="O32" s="17"/>
      <c r="P32" s="17"/>
      <c r="Q32" s="17"/>
      <c r="R32" s="17"/>
      <c r="S32" s="17"/>
      <c r="T32" s="17"/>
      <c r="U32" s="17"/>
      <c r="X32" s="10" t="s">
        <v>124</v>
      </c>
      <c r="Y32" t="str">
        <f>Pivot!F148</f>
        <v>Gasoline</v>
      </c>
    </row>
    <row r="33" spans="1:23" x14ac:dyDescent="0.25">
      <c r="A33" s="17"/>
      <c r="B33" s="17"/>
      <c r="C33" s="17"/>
      <c r="D33" s="17"/>
      <c r="E33" s="17"/>
      <c r="F33" s="17"/>
      <c r="G33" s="17"/>
      <c r="H33" s="17"/>
      <c r="I33" s="17"/>
      <c r="J33" s="17"/>
      <c r="K33" s="17"/>
      <c r="L33" s="17"/>
      <c r="M33" s="17"/>
      <c r="N33" s="17"/>
      <c r="O33" s="17"/>
      <c r="P33" s="17"/>
      <c r="Q33" s="17"/>
      <c r="R33" s="17"/>
      <c r="S33" s="17"/>
      <c r="T33" s="17"/>
      <c r="U33" s="17"/>
    </row>
    <row r="34" spans="1:23" x14ac:dyDescent="0.25">
      <c r="A34" s="17"/>
      <c r="B34" s="17"/>
      <c r="C34" s="17"/>
      <c r="D34" s="17"/>
      <c r="E34" s="17"/>
      <c r="F34" s="17"/>
      <c r="G34" s="17"/>
      <c r="H34" s="17"/>
      <c r="I34" s="17"/>
      <c r="J34" s="17"/>
      <c r="K34" s="17"/>
      <c r="L34" s="17"/>
      <c r="M34" s="17"/>
      <c r="N34" s="17"/>
      <c r="O34" s="17"/>
      <c r="P34" s="17"/>
      <c r="Q34" s="17"/>
      <c r="R34" s="17"/>
      <c r="S34" s="17"/>
      <c r="T34" s="17"/>
      <c r="U34" s="17"/>
    </row>
    <row r="35" spans="1:23" x14ac:dyDescent="0.25">
      <c r="A35" s="17"/>
      <c r="B35" s="17"/>
      <c r="C35" s="17"/>
      <c r="D35" s="17"/>
      <c r="E35" s="17"/>
      <c r="F35" s="17"/>
      <c r="G35" s="17"/>
      <c r="H35" s="17"/>
      <c r="I35" s="17"/>
      <c r="J35" s="17"/>
      <c r="K35" s="17"/>
      <c r="L35" s="17"/>
      <c r="M35" s="17"/>
      <c r="N35" s="17"/>
      <c r="O35" s="17"/>
      <c r="P35" s="17"/>
      <c r="Q35" s="17"/>
      <c r="R35" s="17"/>
      <c r="S35" s="17"/>
      <c r="T35" s="17"/>
      <c r="U35" s="17"/>
      <c r="W35" s="12"/>
    </row>
    <row r="36" spans="1:23" x14ac:dyDescent="0.25">
      <c r="A36" s="17"/>
      <c r="B36" s="17"/>
      <c r="C36" s="17"/>
      <c r="D36" s="17"/>
      <c r="E36" s="17"/>
      <c r="F36" s="17"/>
      <c r="G36" s="17"/>
      <c r="H36" s="17"/>
      <c r="I36" s="17"/>
      <c r="J36" s="17"/>
      <c r="K36" s="17"/>
      <c r="L36" s="17"/>
      <c r="M36" s="17"/>
      <c r="N36" s="17"/>
      <c r="O36" s="17"/>
      <c r="P36" s="17"/>
      <c r="Q36" s="17"/>
      <c r="R36" s="17"/>
      <c r="S36" s="17"/>
      <c r="T36" s="17"/>
      <c r="U36" s="17"/>
    </row>
  </sheetData>
  <mergeCells count="1">
    <mergeCell ref="A1:U3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1ada0a2f-b917-4d51-b0d0-d418a10c8b23}" enabled="1" method="Standard" siteId="{12a3af23-a769-4654-847f-958f3d479f4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Work Sheet</vt:lpstr>
      <vt:lpstr>Assignment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Babatunde,Raphael,NG-Agbara</cp:lastModifiedBy>
  <dcterms:created xsi:type="dcterms:W3CDTF">2026-02-27T10:57:16Z</dcterms:created>
  <dcterms:modified xsi:type="dcterms:W3CDTF">2026-03-24T14:27:20Z</dcterms:modified>
</cp:coreProperties>
</file>